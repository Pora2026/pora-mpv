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6.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Admin\data\"/>
    </mc:Choice>
  </mc:AlternateContent>
  <xr:revisionPtr revIDLastSave="0" documentId="8_{1834D5F1-2F2F-42DA-BB0B-E4AE11B8B538}" xr6:coauthVersionLast="47" xr6:coauthVersionMax="47" xr10:uidLastSave="{00000000-0000-0000-0000-000000000000}"/>
  <bookViews>
    <workbookView xWindow="-108" yWindow="-108" windowWidth="23256" windowHeight="12456" tabRatio="962" activeTab="1" xr2:uid="{00000000-000D-0000-FFFF-FFFF00000000}"/>
  </bookViews>
  <sheets>
    <sheet name="Enero_26" sheetId="11" r:id="rId1"/>
    <sheet name="Febrero_26" sheetId="29" r:id="rId2"/>
    <sheet name="Cash_2026" sheetId="28" r:id="rId3"/>
    <sheet name="Cash_2025" sheetId="12" r:id="rId4"/>
    <sheet name="Febrero" sheetId="13" r:id="rId5"/>
    <sheet name="Marzo" sheetId="14" r:id="rId6"/>
    <sheet name="Abril" sheetId="15" r:id="rId7"/>
    <sheet name="Mayo" sheetId="16" r:id="rId8"/>
    <sheet name="Junio" sheetId="17" r:id="rId9"/>
    <sheet name="Julio" sheetId="18" r:id="rId10"/>
    <sheet name="Agosto_25" sheetId="19" r:id="rId11"/>
    <sheet name="Septiembre_25" sheetId="24" r:id="rId12"/>
    <sheet name="Octubre_25" sheetId="25" r:id="rId13"/>
    <sheet name="Noviembre_25" sheetId="26" r:id="rId14"/>
    <sheet name="Diciembre (25)" sheetId="27" r:id="rId15"/>
    <sheet name="Cash_2024" sheetId="3" state="hidden" r:id="rId16"/>
  </sheets>
  <definedNames>
    <definedName name="_xlnm._FilterDatabase" localSheetId="6" hidden="1">Abril!$B$2:$I$55</definedName>
    <definedName name="_xlnm._FilterDatabase" localSheetId="10" hidden="1">Agosto_25!$B$2:$I$55</definedName>
    <definedName name="_xlnm._FilterDatabase" localSheetId="14" hidden="1">'Diciembre (25)'!$B$2:$I$57</definedName>
    <definedName name="_xlnm._FilterDatabase" localSheetId="0" hidden="1">Enero_26!$B$2:$J$57</definedName>
    <definedName name="_xlnm._FilterDatabase" localSheetId="4" hidden="1">Febrero!$B$2:$I$51</definedName>
    <definedName name="_xlnm._FilterDatabase" localSheetId="1" hidden="1">Febrero_26!$B$2:$J$51</definedName>
    <definedName name="_xlnm._FilterDatabase" localSheetId="9" hidden="1">Julio!$B$2:$I$57</definedName>
    <definedName name="_xlnm._FilterDatabase" localSheetId="8" hidden="1">Junio!$B$2:$I$53</definedName>
    <definedName name="_xlnm._FilterDatabase" localSheetId="5" hidden="1">Marzo!$B$2:$I$49</definedName>
    <definedName name="_xlnm._FilterDatabase" localSheetId="7" hidden="1">Mayo!$B$2:$I$57</definedName>
    <definedName name="_xlnm._FilterDatabase" localSheetId="13" hidden="1">Noviembre_25!$B$2:$I$53</definedName>
    <definedName name="_xlnm._FilterDatabase" localSheetId="12" hidden="1">Octubre_25!$B$2:$I$57</definedName>
    <definedName name="_xlnm._FilterDatabase" localSheetId="11" hidden="1">Septiembre_25!$B$2:$I$55</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8" i="29" l="1"/>
  <c r="Q49" i="29"/>
  <c r="N49" i="29"/>
  <c r="K25" i="29"/>
  <c r="E25" i="29"/>
  <c r="E24" i="29"/>
  <c r="E23" i="29"/>
  <c r="R42" i="29"/>
  <c r="F22"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3" i="29"/>
  <c r="E22" i="29"/>
  <c r="E21" i="29"/>
  <c r="I21" i="29" s="1"/>
  <c r="F19" i="29"/>
  <c r="E20" i="29"/>
  <c r="E19" i="29"/>
  <c r="E17" i="29"/>
  <c r="F15" i="29"/>
  <c r="E15" i="29"/>
  <c r="F13" i="29"/>
  <c r="F14" i="29"/>
  <c r="E12" i="29"/>
  <c r="E11" i="29"/>
  <c r="H9" i="29"/>
  <c r="E9" i="29"/>
  <c r="E6" i="29"/>
  <c r="E5" i="29"/>
  <c r="E58" i="29"/>
  <c r="D51" i="29"/>
  <c r="I49" i="29"/>
  <c r="H49" i="29"/>
  <c r="J49" i="29" s="1"/>
  <c r="H47" i="29"/>
  <c r="J47" i="29" s="1"/>
  <c r="I47" i="29"/>
  <c r="H45" i="29"/>
  <c r="I43" i="29"/>
  <c r="H43" i="29"/>
  <c r="J43" i="29" s="1"/>
  <c r="I41" i="29"/>
  <c r="H41" i="29"/>
  <c r="J41" i="29" s="1"/>
  <c r="I39" i="29"/>
  <c r="K64" i="29" s="1"/>
  <c r="H39" i="29"/>
  <c r="I37" i="29"/>
  <c r="H37" i="29"/>
  <c r="H35" i="29"/>
  <c r="I33" i="29"/>
  <c r="H33" i="29"/>
  <c r="H31" i="29"/>
  <c r="I29" i="29"/>
  <c r="H29" i="29"/>
  <c r="H27" i="29"/>
  <c r="I27" i="29"/>
  <c r="I25" i="29"/>
  <c r="H25" i="29"/>
  <c r="I23" i="29"/>
  <c r="H23" i="29"/>
  <c r="H21" i="29"/>
  <c r="H19" i="29"/>
  <c r="H17" i="29"/>
  <c r="I15" i="29"/>
  <c r="H15" i="29"/>
  <c r="H13" i="29"/>
  <c r="I11" i="29"/>
  <c r="H11" i="29"/>
  <c r="I9" i="29"/>
  <c r="I7" i="29"/>
  <c r="H7" i="29"/>
  <c r="H5" i="29"/>
  <c r="I5" i="29"/>
  <c r="I3" i="29"/>
  <c r="H3" i="29"/>
  <c r="K60" i="29"/>
  <c r="E60" i="29"/>
  <c r="E65" i="29" s="1"/>
  <c r="C25" i="28"/>
  <c r="C37" i="28" s="1"/>
  <c r="B25" i="28"/>
  <c r="B4" i="28"/>
  <c r="B3" i="28"/>
  <c r="B2" i="28"/>
  <c r="B37" i="28"/>
  <c r="D36" i="28"/>
  <c r="D35" i="28"/>
  <c r="D34" i="28"/>
  <c r="D33" i="28"/>
  <c r="D32" i="28"/>
  <c r="D31" i="28"/>
  <c r="D30" i="28"/>
  <c r="D29" i="28"/>
  <c r="D28" i="28"/>
  <c r="D27" i="28"/>
  <c r="D26" i="28"/>
  <c r="F56" i="11"/>
  <c r="E53" i="11"/>
  <c r="E52" i="11"/>
  <c r="E51" i="11"/>
  <c r="J25" i="29" l="1"/>
  <c r="J23" i="29"/>
  <c r="I19" i="29"/>
  <c r="J19" i="29" s="1"/>
  <c r="J9" i="29"/>
  <c r="J11" i="29"/>
  <c r="E63" i="29"/>
  <c r="J7" i="29"/>
  <c r="J5" i="29"/>
  <c r="J37" i="29"/>
  <c r="E62" i="29"/>
  <c r="J33" i="29"/>
  <c r="I45" i="29"/>
  <c r="J45" i="29" s="1"/>
  <c r="J39" i="29"/>
  <c r="P64" i="29" s="1"/>
  <c r="E61" i="29"/>
  <c r="I13" i="29"/>
  <c r="K61" i="29" s="1"/>
  <c r="J29" i="29"/>
  <c r="E64" i="29"/>
  <c r="J3" i="29"/>
  <c r="J21" i="29"/>
  <c r="E51" i="29"/>
  <c r="I31" i="29"/>
  <c r="J31" i="29" s="1"/>
  <c r="I35" i="29"/>
  <c r="J35" i="29" s="1"/>
  <c r="F51" i="29"/>
  <c r="J15" i="29"/>
  <c r="J27" i="29"/>
  <c r="H51" i="29"/>
  <c r="C2" i="28" s="1"/>
  <c r="E57" i="29"/>
  <c r="I17" i="29"/>
  <c r="D25" i="28"/>
  <c r="D37" i="28"/>
  <c r="F44" i="11"/>
  <c r="I43" i="11" s="1"/>
  <c r="E42" i="11"/>
  <c r="E41" i="11"/>
  <c r="E38" i="11"/>
  <c r="I37" i="11" s="1"/>
  <c r="E37" i="11"/>
  <c r="E36" i="11"/>
  <c r="G33" i="11"/>
  <c r="E34" i="11"/>
  <c r="E33" i="11"/>
  <c r="E28" i="11"/>
  <c r="E27" i="11"/>
  <c r="E24" i="11"/>
  <c r="E23" i="11"/>
  <c r="F20" i="11"/>
  <c r="I19" i="11" s="1"/>
  <c r="F19" i="11"/>
  <c r="F18" i="11"/>
  <c r="E17" i="11"/>
  <c r="E14" i="11"/>
  <c r="E13" i="11"/>
  <c r="E12" i="11"/>
  <c r="E11" i="11"/>
  <c r="E10" i="11"/>
  <c r="I9" i="11" s="1"/>
  <c r="E6" i="11"/>
  <c r="I7" i="11"/>
  <c r="I11" i="11"/>
  <c r="I13" i="11"/>
  <c r="I15" i="11"/>
  <c r="I21" i="11"/>
  <c r="I25" i="11"/>
  <c r="I29" i="11"/>
  <c r="I31" i="11"/>
  <c r="I33" i="11"/>
  <c r="I35" i="11"/>
  <c r="I39" i="11"/>
  <c r="I41" i="11"/>
  <c r="I45" i="11"/>
  <c r="I47" i="11"/>
  <c r="I49" i="11"/>
  <c r="I51" i="11"/>
  <c r="I53" i="11"/>
  <c r="I55" i="11"/>
  <c r="I5" i="11"/>
  <c r="D57" i="11"/>
  <c r="G56" i="11"/>
  <c r="H55" i="11"/>
  <c r="G55" i="11"/>
  <c r="H55" i="27"/>
  <c r="E55" i="27"/>
  <c r="E57" i="27"/>
  <c r="G57" i="27"/>
  <c r="D57" i="27"/>
  <c r="E54" i="27"/>
  <c r="E53" i="27"/>
  <c r="E52" i="27"/>
  <c r="E51" i="27"/>
  <c r="E47" i="27"/>
  <c r="E43" i="27"/>
  <c r="E42" i="27"/>
  <c r="E41" i="27"/>
  <c r="E40" i="27"/>
  <c r="E39" i="27"/>
  <c r="D13" i="27"/>
  <c r="G13" i="27"/>
  <c r="G15" i="27"/>
  <c r="G17" i="27"/>
  <c r="G19" i="27"/>
  <c r="G21" i="27"/>
  <c r="G23" i="27"/>
  <c r="G25" i="27"/>
  <c r="G27" i="27"/>
  <c r="G29" i="27"/>
  <c r="G31" i="27"/>
  <c r="G33" i="27"/>
  <c r="E35" i="27"/>
  <c r="E34" i="27"/>
  <c r="E32" i="27"/>
  <c r="E31" i="27"/>
  <c r="E30" i="27"/>
  <c r="E28" i="27"/>
  <c r="E27" i="27"/>
  <c r="E26" i="27"/>
  <c r="E25" i="27"/>
  <c r="G51" i="29" l="1"/>
  <c r="K63" i="29"/>
  <c r="I51" i="29"/>
  <c r="J17" i="29"/>
  <c r="P62" i="29" s="1"/>
  <c r="J13" i="29"/>
  <c r="K62" i="29"/>
  <c r="K65" i="29" s="1"/>
  <c r="P61" i="29"/>
  <c r="P63" i="29"/>
  <c r="P60" i="29"/>
  <c r="P65" i="29" s="1"/>
  <c r="J51" i="29"/>
  <c r="C4" i="28" s="1"/>
  <c r="I27" i="11"/>
  <c r="I23" i="11"/>
  <c r="E57" i="11"/>
  <c r="F57" i="11"/>
  <c r="I17" i="11"/>
  <c r="J55" i="11"/>
  <c r="E21" i="27"/>
  <c r="E24" i="27"/>
  <c r="F23" i="27"/>
  <c r="E22" i="27"/>
  <c r="E20" i="27"/>
  <c r="F20" i="27" s="1"/>
  <c r="E19" i="27"/>
  <c r="E17" i="27"/>
  <c r="E12" i="27"/>
  <c r="E11" i="27"/>
  <c r="H11" i="27" s="1"/>
  <c r="E10" i="27"/>
  <c r="E9" i="27"/>
  <c r="E6" i="27"/>
  <c r="E5" i="27"/>
  <c r="E4" i="27"/>
  <c r="F4" i="27" s="1"/>
  <c r="E3" i="27"/>
  <c r="F56" i="27"/>
  <c r="H57" i="27"/>
  <c r="G55" i="27"/>
  <c r="F55" i="27"/>
  <c r="F57" i="27" s="1"/>
  <c r="F54" i="27"/>
  <c r="H53" i="27"/>
  <c r="G53" i="27"/>
  <c r="F53" i="27"/>
  <c r="F52" i="27"/>
  <c r="H51" i="27"/>
  <c r="G51" i="27"/>
  <c r="F51" i="27"/>
  <c r="O65" i="27"/>
  <c r="O70" i="27" s="1"/>
  <c r="J65" i="27"/>
  <c r="J70" i="27" s="1"/>
  <c r="E65" i="27"/>
  <c r="E70" i="27" s="1"/>
  <c r="E63" i="27"/>
  <c r="E62" i="27"/>
  <c r="F50" i="27"/>
  <c r="H49" i="27"/>
  <c r="G49" i="27"/>
  <c r="F49" i="27"/>
  <c r="F48" i="27"/>
  <c r="G47" i="27"/>
  <c r="F47" i="27"/>
  <c r="F46" i="27"/>
  <c r="G45" i="27"/>
  <c r="H45" i="27"/>
  <c r="F44" i="27"/>
  <c r="G43" i="27"/>
  <c r="H43" i="27"/>
  <c r="F42" i="27"/>
  <c r="H41" i="27"/>
  <c r="G41" i="27"/>
  <c r="F41" i="27"/>
  <c r="F40" i="27"/>
  <c r="H39" i="27"/>
  <c r="G39" i="27"/>
  <c r="F39" i="27"/>
  <c r="F38" i="27"/>
  <c r="H37" i="27"/>
  <c r="G37" i="27"/>
  <c r="F37" i="27"/>
  <c r="F36" i="27"/>
  <c r="H35" i="27"/>
  <c r="G35" i="27"/>
  <c r="F35" i="27"/>
  <c r="F34" i="27"/>
  <c r="F33" i="27"/>
  <c r="F32" i="27"/>
  <c r="H31" i="27"/>
  <c r="F31" i="27"/>
  <c r="F30" i="27"/>
  <c r="F29" i="27"/>
  <c r="F28" i="27"/>
  <c r="H27" i="27"/>
  <c r="F26" i="27"/>
  <c r="H25" i="27"/>
  <c r="F24" i="27"/>
  <c r="F22" i="27"/>
  <c r="H21" i="27"/>
  <c r="F19" i="27"/>
  <c r="F18" i="27"/>
  <c r="H17" i="27"/>
  <c r="F17" i="27"/>
  <c r="F16" i="27"/>
  <c r="F15" i="27"/>
  <c r="F14" i="27"/>
  <c r="H13" i="27"/>
  <c r="F12" i="27"/>
  <c r="G11" i="27"/>
  <c r="F11" i="27"/>
  <c r="F10" i="27"/>
  <c r="G9" i="27"/>
  <c r="F9" i="27"/>
  <c r="F8" i="27"/>
  <c r="G7" i="27"/>
  <c r="H7" i="27"/>
  <c r="F6" i="27"/>
  <c r="G5" i="27"/>
  <c r="F5" i="27"/>
  <c r="H5" i="27"/>
  <c r="G3" i="27"/>
  <c r="F3" i="27"/>
  <c r="J66" i="27"/>
  <c r="E66" i="27"/>
  <c r="O66" i="27"/>
  <c r="E50" i="26"/>
  <c r="E49" i="26"/>
  <c r="E48" i="26"/>
  <c r="E47" i="26"/>
  <c r="E46" i="26"/>
  <c r="E45" i="26"/>
  <c r="E44" i="26"/>
  <c r="E43" i="26"/>
  <c r="E39" i="26"/>
  <c r="E38" i="26"/>
  <c r="E37" i="26"/>
  <c r="E36" i="26"/>
  <c r="E35" i="26"/>
  <c r="E33" i="26"/>
  <c r="E32" i="26"/>
  <c r="E31" i="26"/>
  <c r="O38" i="29" l="1"/>
  <c r="O39" i="29" s="1"/>
  <c r="C3" i="28"/>
  <c r="I53" i="27"/>
  <c r="H23" i="27"/>
  <c r="H19" i="27"/>
  <c r="H3" i="27"/>
  <c r="I49" i="27"/>
  <c r="I31" i="27"/>
  <c r="I55" i="27"/>
  <c r="I57" i="27" s="1"/>
  <c r="I51" i="27"/>
  <c r="I35" i="27"/>
  <c r="I41" i="27"/>
  <c r="I17" i="27"/>
  <c r="I23" i="27"/>
  <c r="I37" i="27"/>
  <c r="I43" i="27"/>
  <c r="E67" i="27"/>
  <c r="I11" i="27"/>
  <c r="I19" i="27"/>
  <c r="I39" i="27"/>
  <c r="I5" i="27"/>
  <c r="E69" i="27"/>
  <c r="I25" i="27"/>
  <c r="I7" i="27"/>
  <c r="I13" i="27"/>
  <c r="I21" i="27"/>
  <c r="I45" i="27"/>
  <c r="I3" i="27"/>
  <c r="H29" i="27"/>
  <c r="I29" i="27" s="1"/>
  <c r="H15" i="27"/>
  <c r="H33" i="27"/>
  <c r="I33" i="27" s="1"/>
  <c r="H47" i="27"/>
  <c r="I47" i="27" s="1"/>
  <c r="F27" i="27"/>
  <c r="E68" i="27"/>
  <c r="F13" i="27"/>
  <c r="F45" i="27"/>
  <c r="H9" i="27"/>
  <c r="I9" i="27" s="1"/>
  <c r="I27" i="27"/>
  <c r="F21" i="27"/>
  <c r="F7" i="27"/>
  <c r="F25" i="27"/>
  <c r="F43" i="27"/>
  <c r="E30" i="26"/>
  <c r="F30" i="26" s="1"/>
  <c r="E29" i="26"/>
  <c r="E27" i="26"/>
  <c r="E26" i="26"/>
  <c r="F26" i="26" s="1"/>
  <c r="E25" i="26"/>
  <c r="E24" i="26"/>
  <c r="F24" i="26" s="1"/>
  <c r="E23" i="26"/>
  <c r="E21" i="26"/>
  <c r="E20" i="26"/>
  <c r="E19" i="26"/>
  <c r="H19" i="26" s="1"/>
  <c r="I19" i="26" s="1"/>
  <c r="E18" i="26"/>
  <c r="E17" i="26"/>
  <c r="E16" i="26"/>
  <c r="E15" i="26"/>
  <c r="E13" i="26"/>
  <c r="E12" i="26"/>
  <c r="F12" i="26" s="1"/>
  <c r="E11" i="26"/>
  <c r="E9" i="26"/>
  <c r="F9" i="26" s="1"/>
  <c r="E8" i="26"/>
  <c r="F8" i="26" s="1"/>
  <c r="E7" i="26"/>
  <c r="E6" i="26"/>
  <c r="F6" i="26" s="1"/>
  <c r="H3" i="26"/>
  <c r="D53" i="26"/>
  <c r="F52" i="26"/>
  <c r="H51" i="26"/>
  <c r="G51" i="26"/>
  <c r="F51" i="26"/>
  <c r="O61" i="26"/>
  <c r="O66" i="26" s="1"/>
  <c r="J61" i="26"/>
  <c r="J66" i="26" s="1"/>
  <c r="E61" i="26"/>
  <c r="E66" i="26" s="1"/>
  <c r="E59" i="26"/>
  <c r="E58" i="26"/>
  <c r="F50" i="26"/>
  <c r="G49" i="26"/>
  <c r="H49" i="26"/>
  <c r="F48" i="26"/>
  <c r="G47" i="26"/>
  <c r="F47" i="26"/>
  <c r="F46" i="26"/>
  <c r="G45" i="26"/>
  <c r="H45" i="26"/>
  <c r="F44" i="26"/>
  <c r="G43" i="26"/>
  <c r="H43" i="26"/>
  <c r="F42" i="26"/>
  <c r="G41" i="26"/>
  <c r="H41" i="26"/>
  <c r="F40" i="26"/>
  <c r="G39" i="26"/>
  <c r="F38" i="26"/>
  <c r="G37" i="26"/>
  <c r="H37" i="26"/>
  <c r="F36" i="26"/>
  <c r="G35" i="26"/>
  <c r="F35" i="26"/>
  <c r="F34" i="26"/>
  <c r="G33" i="26"/>
  <c r="F32" i="26"/>
  <c r="G31" i="26"/>
  <c r="H31" i="26"/>
  <c r="G29" i="26"/>
  <c r="F28" i="26"/>
  <c r="H27" i="26"/>
  <c r="G27" i="26"/>
  <c r="F27" i="26"/>
  <c r="G25" i="26"/>
  <c r="H25" i="26"/>
  <c r="G23" i="26"/>
  <c r="F23" i="26"/>
  <c r="F22" i="26"/>
  <c r="G21" i="26"/>
  <c r="F20" i="26"/>
  <c r="G19" i="26"/>
  <c r="F18" i="26"/>
  <c r="G17" i="26"/>
  <c r="H17" i="26"/>
  <c r="F16" i="26"/>
  <c r="G15" i="26"/>
  <c r="H15" i="26"/>
  <c r="F14" i="26"/>
  <c r="G13" i="26"/>
  <c r="G11" i="26"/>
  <c r="F10" i="26"/>
  <c r="G9" i="26"/>
  <c r="G7" i="26"/>
  <c r="G5" i="26"/>
  <c r="F4" i="26"/>
  <c r="G3" i="26"/>
  <c r="E62" i="26"/>
  <c r="E56" i="25"/>
  <c r="E55" i="25"/>
  <c r="E54" i="25"/>
  <c r="E53" i="25"/>
  <c r="E52" i="25"/>
  <c r="E51" i="25"/>
  <c r="E49" i="25"/>
  <c r="E50" i="25"/>
  <c r="E47" i="25"/>
  <c r="E48" i="25"/>
  <c r="E46" i="25"/>
  <c r="E45" i="25"/>
  <c r="E44" i="25"/>
  <c r="E43" i="25"/>
  <c r="E66" i="25"/>
  <c r="E65" i="25"/>
  <c r="E42" i="25"/>
  <c r="E41" i="25"/>
  <c r="E40" i="25"/>
  <c r="E39" i="25"/>
  <c r="E38" i="25"/>
  <c r="E37" i="25"/>
  <c r="E36" i="25"/>
  <c r="E35" i="25"/>
  <c r="E32" i="25"/>
  <c r="E31" i="25"/>
  <c r="E30" i="25"/>
  <c r="E29" i="25"/>
  <c r="E28" i="25"/>
  <c r="E27" i="25"/>
  <c r="O67" i="27" l="1"/>
  <c r="O68" i="27"/>
  <c r="O69" i="27"/>
  <c r="N40" i="27"/>
  <c r="N41" i="27" s="1"/>
  <c r="J67" i="27"/>
  <c r="J69" i="27"/>
  <c r="I15" i="27"/>
  <c r="J68" i="27"/>
  <c r="I51" i="26"/>
  <c r="G53" i="26"/>
  <c r="I27" i="26"/>
  <c r="H23" i="26"/>
  <c r="I23" i="26"/>
  <c r="H11" i="26"/>
  <c r="H5" i="26"/>
  <c r="E53" i="26"/>
  <c r="I3" i="26"/>
  <c r="I15" i="26"/>
  <c r="H47" i="26"/>
  <c r="I47" i="26" s="1"/>
  <c r="H21" i="26"/>
  <c r="J64" i="26" s="1"/>
  <c r="E63" i="26"/>
  <c r="H13" i="26"/>
  <c r="I13" i="26" s="1"/>
  <c r="H7" i="26"/>
  <c r="I7" i="26" s="1"/>
  <c r="H29" i="26"/>
  <c r="I29" i="26" s="1"/>
  <c r="I43" i="26"/>
  <c r="F37" i="26"/>
  <c r="I37" i="26"/>
  <c r="I31" i="26"/>
  <c r="H9" i="26"/>
  <c r="I9" i="26" s="1"/>
  <c r="I17" i="26"/>
  <c r="H39" i="26"/>
  <c r="I39" i="26" s="1"/>
  <c r="H33" i="26"/>
  <c r="I33" i="26" s="1"/>
  <c r="I49" i="26"/>
  <c r="I41" i="26"/>
  <c r="I45" i="26"/>
  <c r="I11" i="26"/>
  <c r="I25" i="26"/>
  <c r="E64" i="26"/>
  <c r="F13" i="26"/>
  <c r="F31" i="26"/>
  <c r="F3" i="26"/>
  <c r="F17" i="26"/>
  <c r="F41" i="26"/>
  <c r="F7" i="26"/>
  <c r="F21" i="26"/>
  <c r="F45" i="26"/>
  <c r="F11" i="26"/>
  <c r="F25" i="26"/>
  <c r="H35" i="26"/>
  <c r="F39" i="26"/>
  <c r="E65" i="26"/>
  <c r="F29" i="26"/>
  <c r="F49" i="26"/>
  <c r="F15" i="26"/>
  <c r="F33" i="26"/>
  <c r="F5" i="26"/>
  <c r="F19" i="26"/>
  <c r="F43" i="26"/>
  <c r="E26" i="25"/>
  <c r="E25" i="25"/>
  <c r="E24" i="25"/>
  <c r="H23" i="25" s="1"/>
  <c r="E23" i="25"/>
  <c r="G27" i="25"/>
  <c r="E21" i="25"/>
  <c r="E20" i="25"/>
  <c r="E19" i="25"/>
  <c r="E18" i="25"/>
  <c r="E17" i="25"/>
  <c r="E16" i="25"/>
  <c r="E15" i="25"/>
  <c r="E14" i="25"/>
  <c r="E13" i="25"/>
  <c r="E12" i="25"/>
  <c r="E11" i="25"/>
  <c r="E10" i="25"/>
  <c r="H9" i="25" s="1"/>
  <c r="E9" i="25"/>
  <c r="E8" i="25"/>
  <c r="H7" i="25" s="1"/>
  <c r="E7" i="25"/>
  <c r="E6" i="25"/>
  <c r="E5" i="25"/>
  <c r="E4" i="25"/>
  <c r="E3" i="25"/>
  <c r="D57" i="25"/>
  <c r="F56" i="25"/>
  <c r="H55" i="25"/>
  <c r="G55" i="25"/>
  <c r="F55" i="25"/>
  <c r="F54" i="25"/>
  <c r="H53" i="25"/>
  <c r="G53" i="25"/>
  <c r="F53" i="25"/>
  <c r="F52" i="25"/>
  <c r="H51" i="25"/>
  <c r="G51" i="25"/>
  <c r="F51" i="25"/>
  <c r="O65" i="25"/>
  <c r="O70" i="25" s="1"/>
  <c r="J65" i="25"/>
  <c r="J70" i="25" s="1"/>
  <c r="E70" i="25"/>
  <c r="E63" i="25"/>
  <c r="E62" i="25"/>
  <c r="F50" i="25"/>
  <c r="G49" i="25"/>
  <c r="H49" i="25"/>
  <c r="F48" i="25"/>
  <c r="H47" i="25"/>
  <c r="G47" i="25"/>
  <c r="F47" i="25"/>
  <c r="F46" i="25"/>
  <c r="H45" i="25"/>
  <c r="G45" i="25"/>
  <c r="F45" i="25"/>
  <c r="F44" i="25"/>
  <c r="G43" i="25"/>
  <c r="H43" i="25"/>
  <c r="F42" i="25"/>
  <c r="H41" i="25"/>
  <c r="G41" i="25"/>
  <c r="F41" i="25"/>
  <c r="F40" i="25"/>
  <c r="G39" i="25"/>
  <c r="H39" i="25"/>
  <c r="F38" i="25"/>
  <c r="G37" i="25"/>
  <c r="H37" i="25"/>
  <c r="F36" i="25"/>
  <c r="G35" i="25"/>
  <c r="H35" i="25"/>
  <c r="F34" i="25"/>
  <c r="H33" i="25"/>
  <c r="G33" i="25"/>
  <c r="F33" i="25"/>
  <c r="F32" i="25"/>
  <c r="G31" i="25"/>
  <c r="H31" i="25"/>
  <c r="F30" i="25"/>
  <c r="H29" i="25"/>
  <c r="G29" i="25"/>
  <c r="F29" i="25"/>
  <c r="F28" i="25"/>
  <c r="H27" i="25"/>
  <c r="F26" i="25"/>
  <c r="H25" i="25"/>
  <c r="G25" i="25"/>
  <c r="F25" i="25"/>
  <c r="F24" i="25"/>
  <c r="G23" i="25"/>
  <c r="F22" i="25"/>
  <c r="G21" i="25"/>
  <c r="F21" i="25"/>
  <c r="H21" i="25"/>
  <c r="F20" i="25"/>
  <c r="G19" i="25"/>
  <c r="F18" i="25"/>
  <c r="H17" i="25"/>
  <c r="G17" i="25"/>
  <c r="F17" i="25"/>
  <c r="F16" i="25"/>
  <c r="G15" i="25"/>
  <c r="F15" i="25"/>
  <c r="F14" i="25"/>
  <c r="G13" i="25"/>
  <c r="H13" i="25"/>
  <c r="F12" i="25"/>
  <c r="G11" i="25"/>
  <c r="H11" i="25"/>
  <c r="G9" i="25"/>
  <c r="F8" i="25"/>
  <c r="G7" i="25"/>
  <c r="F7" i="25"/>
  <c r="F6" i="25"/>
  <c r="G5" i="25"/>
  <c r="F4" i="25"/>
  <c r="H3" i="25"/>
  <c r="G3" i="25"/>
  <c r="F3" i="25"/>
  <c r="E48" i="24"/>
  <c r="E54" i="24"/>
  <c r="F54" i="24"/>
  <c r="E53" i="24"/>
  <c r="E47" i="24"/>
  <c r="E46" i="24"/>
  <c r="E45" i="24"/>
  <c r="E44" i="24"/>
  <c r="E43" i="24"/>
  <c r="E41" i="24"/>
  <c r="E42" i="24"/>
  <c r="E40" i="24"/>
  <c r="E39" i="24"/>
  <c r="H37" i="24"/>
  <c r="E36" i="24"/>
  <c r="E35" i="24"/>
  <c r="E34" i="24"/>
  <c r="E33" i="24"/>
  <c r="F33" i="24" s="1"/>
  <c r="E32" i="24"/>
  <c r="E31" i="24"/>
  <c r="E30" i="24"/>
  <c r="E29" i="24"/>
  <c r="E28" i="24"/>
  <c r="E27" i="24"/>
  <c r="E26" i="24"/>
  <c r="E25" i="24"/>
  <c r="F25" i="24" s="1"/>
  <c r="E24" i="24"/>
  <c r="E23" i="24"/>
  <c r="F24" i="24"/>
  <c r="E19" i="24"/>
  <c r="H19" i="24" s="1"/>
  <c r="E20" i="24"/>
  <c r="E17" i="24"/>
  <c r="F17" i="24" s="1"/>
  <c r="E15" i="24"/>
  <c r="F15" i="24" s="1"/>
  <c r="E13" i="24"/>
  <c r="H13" i="24" s="1"/>
  <c r="E12" i="24"/>
  <c r="E11" i="24"/>
  <c r="E10" i="24"/>
  <c r="E9" i="24"/>
  <c r="H9" i="24" s="1"/>
  <c r="E8" i="24"/>
  <c r="E7" i="24"/>
  <c r="E6" i="24"/>
  <c r="E5" i="24"/>
  <c r="E4" i="24"/>
  <c r="E3" i="24"/>
  <c r="D55" i="24"/>
  <c r="G53" i="24"/>
  <c r="F52" i="24"/>
  <c r="H51" i="24"/>
  <c r="G51" i="24"/>
  <c r="F51" i="24"/>
  <c r="E61" i="24"/>
  <c r="E60" i="24"/>
  <c r="F50" i="24"/>
  <c r="H49" i="24"/>
  <c r="G49" i="24"/>
  <c r="F49" i="24"/>
  <c r="F48" i="24"/>
  <c r="H47" i="24"/>
  <c r="G47" i="24"/>
  <c r="F47" i="24"/>
  <c r="F46" i="24"/>
  <c r="G45" i="24"/>
  <c r="F45" i="24"/>
  <c r="F44" i="24"/>
  <c r="G43" i="24"/>
  <c r="H43" i="24"/>
  <c r="F42" i="24"/>
  <c r="G41" i="24"/>
  <c r="F41" i="24"/>
  <c r="F40" i="24"/>
  <c r="G39" i="24"/>
  <c r="F38" i="24"/>
  <c r="G37" i="24"/>
  <c r="F37" i="24"/>
  <c r="F36" i="24"/>
  <c r="G35" i="24"/>
  <c r="H35" i="24"/>
  <c r="H33" i="24"/>
  <c r="G33" i="24"/>
  <c r="F32" i="24"/>
  <c r="G31" i="24"/>
  <c r="F31" i="24"/>
  <c r="F30" i="24"/>
  <c r="G29" i="24"/>
  <c r="H29" i="24"/>
  <c r="F28" i="24"/>
  <c r="H27" i="24"/>
  <c r="G27" i="24"/>
  <c r="F27" i="24"/>
  <c r="F26" i="24"/>
  <c r="G25" i="24"/>
  <c r="G23" i="24"/>
  <c r="F22" i="24"/>
  <c r="G21" i="24"/>
  <c r="H21" i="24"/>
  <c r="F20" i="24"/>
  <c r="G19" i="24"/>
  <c r="F18" i="24"/>
  <c r="G17" i="24"/>
  <c r="F16" i="24"/>
  <c r="G15" i="24"/>
  <c r="F14" i="24"/>
  <c r="G13" i="24"/>
  <c r="F12" i="24"/>
  <c r="G11" i="24"/>
  <c r="F10" i="24"/>
  <c r="G9" i="24"/>
  <c r="F8" i="24"/>
  <c r="H7" i="24"/>
  <c r="G7" i="24"/>
  <c r="F7" i="24"/>
  <c r="G5" i="24"/>
  <c r="F4" i="24"/>
  <c r="G3" i="24"/>
  <c r="F3" i="24"/>
  <c r="E54" i="19"/>
  <c r="E51" i="19"/>
  <c r="H51" i="19" s="1"/>
  <c r="E52" i="19"/>
  <c r="E50" i="19"/>
  <c r="E49" i="19"/>
  <c r="E48" i="19"/>
  <c r="E47" i="19"/>
  <c r="E46" i="19"/>
  <c r="E45" i="19"/>
  <c r="E44" i="19"/>
  <c r="E43" i="19"/>
  <c r="E42" i="19"/>
  <c r="E41" i="19"/>
  <c r="F41" i="19" s="1"/>
  <c r="E40" i="19"/>
  <c r="H39" i="19" s="1"/>
  <c r="E39" i="19"/>
  <c r="E38" i="19"/>
  <c r="E37" i="19"/>
  <c r="E36" i="19"/>
  <c r="F36" i="19" s="1"/>
  <c r="E35" i="19"/>
  <c r="E34" i="19"/>
  <c r="E33" i="19"/>
  <c r="E32" i="19"/>
  <c r="E31" i="19"/>
  <c r="E30" i="19"/>
  <c r="E29" i="19"/>
  <c r="E28" i="19"/>
  <c r="E27" i="19"/>
  <c r="E26" i="19"/>
  <c r="F26" i="19" s="1"/>
  <c r="E25" i="19"/>
  <c r="E24" i="19"/>
  <c r="E23" i="19"/>
  <c r="E22" i="19"/>
  <c r="E21" i="19"/>
  <c r="F21" i="19" s="1"/>
  <c r="E20" i="19"/>
  <c r="E19" i="19"/>
  <c r="E17" i="19"/>
  <c r="F17" i="19" s="1"/>
  <c r="E18" i="19"/>
  <c r="E16" i="19"/>
  <c r="E15" i="19"/>
  <c r="E14" i="19"/>
  <c r="E13" i="19"/>
  <c r="F13" i="19" s="1"/>
  <c r="E12" i="19"/>
  <c r="E11" i="19"/>
  <c r="E10" i="19"/>
  <c r="E9" i="19"/>
  <c r="E8" i="19"/>
  <c r="E7" i="19"/>
  <c r="F7" i="19" s="1"/>
  <c r="E6" i="19"/>
  <c r="E5" i="19"/>
  <c r="E4" i="19"/>
  <c r="E3" i="19"/>
  <c r="F3" i="19" s="1"/>
  <c r="E60" i="19"/>
  <c r="D55" i="19"/>
  <c r="F54" i="19"/>
  <c r="G53" i="19"/>
  <c r="F53" i="19"/>
  <c r="H53" i="19"/>
  <c r="F52" i="19"/>
  <c r="G51" i="19"/>
  <c r="E61" i="19"/>
  <c r="F50" i="19"/>
  <c r="G49" i="19"/>
  <c r="F48" i="19"/>
  <c r="G47" i="19"/>
  <c r="F46" i="19"/>
  <c r="G45" i="19"/>
  <c r="F45" i="19"/>
  <c r="F44" i="19"/>
  <c r="G43" i="19"/>
  <c r="F42" i="19"/>
  <c r="G41" i="19"/>
  <c r="G39" i="19"/>
  <c r="H37" i="19"/>
  <c r="G37" i="19"/>
  <c r="F37" i="19"/>
  <c r="G35" i="19"/>
  <c r="F34" i="19"/>
  <c r="G33" i="19"/>
  <c r="F32" i="19"/>
  <c r="G31" i="19"/>
  <c r="F31" i="19"/>
  <c r="F30" i="19"/>
  <c r="G29" i="19"/>
  <c r="F29" i="19"/>
  <c r="F28" i="19"/>
  <c r="G27" i="19"/>
  <c r="G25" i="19"/>
  <c r="F25" i="19"/>
  <c r="F24" i="19"/>
  <c r="G23" i="19"/>
  <c r="F22" i="19"/>
  <c r="G21" i="19"/>
  <c r="F20" i="19"/>
  <c r="G19" i="19"/>
  <c r="F18" i="19"/>
  <c r="G17" i="19"/>
  <c r="F16" i="19"/>
  <c r="G15" i="19"/>
  <c r="F14" i="19"/>
  <c r="G13" i="19"/>
  <c r="F12" i="19"/>
  <c r="G11" i="19"/>
  <c r="F10" i="19"/>
  <c r="G9" i="19"/>
  <c r="F8" i="19"/>
  <c r="G7" i="19"/>
  <c r="F6" i="19"/>
  <c r="G5" i="19"/>
  <c r="G3" i="19"/>
  <c r="E49" i="18"/>
  <c r="E56" i="18"/>
  <c r="E55" i="18"/>
  <c r="E54" i="18"/>
  <c r="E53" i="18"/>
  <c r="E52" i="18"/>
  <c r="E51" i="18"/>
  <c r="E50" i="18"/>
  <c r="E48" i="18"/>
  <c r="E47" i="18"/>
  <c r="E46" i="18"/>
  <c r="E45" i="18"/>
  <c r="E42" i="18"/>
  <c r="E41" i="18"/>
  <c r="E44" i="18"/>
  <c r="E43" i="18"/>
  <c r="E40" i="18"/>
  <c r="E39" i="18"/>
  <c r="E38" i="18"/>
  <c r="E37" i="18"/>
  <c r="E36" i="18"/>
  <c r="E35" i="18"/>
  <c r="I21" i="26" l="1"/>
  <c r="H53" i="26"/>
  <c r="N42" i="26" s="1"/>
  <c r="N43" i="26" s="1"/>
  <c r="I5" i="26"/>
  <c r="F53" i="26"/>
  <c r="O64" i="26"/>
  <c r="J63" i="26"/>
  <c r="J65" i="26"/>
  <c r="I35" i="26"/>
  <c r="J62" i="26"/>
  <c r="O65" i="26"/>
  <c r="O63" i="26"/>
  <c r="O62" i="26"/>
  <c r="I55" i="25"/>
  <c r="I53" i="25"/>
  <c r="I51" i="25"/>
  <c r="I45" i="25"/>
  <c r="G57" i="25"/>
  <c r="H19" i="25"/>
  <c r="I17" i="25"/>
  <c r="I9" i="25"/>
  <c r="F10" i="25"/>
  <c r="E57" i="25"/>
  <c r="I7" i="25"/>
  <c r="H5" i="25"/>
  <c r="I29" i="25"/>
  <c r="I39" i="25"/>
  <c r="I25" i="25"/>
  <c r="I5" i="25"/>
  <c r="I33" i="25"/>
  <c r="I47" i="25"/>
  <c r="J69" i="25"/>
  <c r="I3" i="25"/>
  <c r="I27" i="25"/>
  <c r="I41" i="25"/>
  <c r="I11" i="25"/>
  <c r="I19" i="25"/>
  <c r="I13" i="25"/>
  <c r="I49" i="25"/>
  <c r="I35" i="25"/>
  <c r="I37" i="25"/>
  <c r="I21" i="25"/>
  <c r="J68" i="25"/>
  <c r="I43" i="25"/>
  <c r="I31" i="25"/>
  <c r="I23" i="25"/>
  <c r="E67" i="25"/>
  <c r="E68" i="25"/>
  <c r="F49" i="25"/>
  <c r="F43" i="25"/>
  <c r="F23" i="25"/>
  <c r="J66" i="25"/>
  <c r="F5" i="25"/>
  <c r="F27" i="25"/>
  <c r="F9" i="25"/>
  <c r="O66" i="25" s="1"/>
  <c r="F13" i="25"/>
  <c r="F31" i="25"/>
  <c r="F35" i="25"/>
  <c r="F19" i="25"/>
  <c r="F37" i="25"/>
  <c r="H15" i="25"/>
  <c r="J67" i="25" s="1"/>
  <c r="E69" i="25"/>
  <c r="F39" i="25"/>
  <c r="F11" i="25"/>
  <c r="H53" i="24"/>
  <c r="I53" i="24" s="1"/>
  <c r="G55" i="24"/>
  <c r="H5" i="24"/>
  <c r="H23" i="24"/>
  <c r="I23" i="24" s="1"/>
  <c r="F6" i="24"/>
  <c r="E55" i="24"/>
  <c r="I51" i="24"/>
  <c r="I9" i="24"/>
  <c r="I47" i="24"/>
  <c r="F9" i="24"/>
  <c r="I33" i="24"/>
  <c r="H3" i="24"/>
  <c r="I3" i="24" s="1"/>
  <c r="I49" i="24"/>
  <c r="I5" i="24"/>
  <c r="I43" i="24"/>
  <c r="H11" i="24"/>
  <c r="I11" i="24" s="1"/>
  <c r="F53" i="24"/>
  <c r="H17" i="24"/>
  <c r="I17" i="24" s="1"/>
  <c r="H31" i="24"/>
  <c r="I31" i="24" s="1"/>
  <c r="I37" i="24"/>
  <c r="H39" i="24"/>
  <c r="I39" i="24" s="1"/>
  <c r="E64" i="24"/>
  <c r="I13" i="24"/>
  <c r="F13" i="24"/>
  <c r="E66" i="24"/>
  <c r="I19" i="24"/>
  <c r="I35" i="24"/>
  <c r="I21" i="24"/>
  <c r="I29" i="24"/>
  <c r="E65" i="24"/>
  <c r="I27" i="24"/>
  <c r="F34" i="24"/>
  <c r="F11" i="24"/>
  <c r="F35" i="24"/>
  <c r="H25" i="24"/>
  <c r="I25" i="24" s="1"/>
  <c r="F29" i="24"/>
  <c r="H45" i="24"/>
  <c r="I45" i="24" s="1"/>
  <c r="H15" i="24"/>
  <c r="I15" i="24" s="1"/>
  <c r="F19" i="24"/>
  <c r="F39" i="24"/>
  <c r="E63" i="24"/>
  <c r="E67" i="24"/>
  <c r="F21" i="24"/>
  <c r="I7" i="24"/>
  <c r="H41" i="24"/>
  <c r="I41" i="24" s="1"/>
  <c r="F5" i="24"/>
  <c r="F23" i="24"/>
  <c r="F43" i="24"/>
  <c r="F51" i="19"/>
  <c r="I51" i="19"/>
  <c r="H49" i="19"/>
  <c r="F40" i="19"/>
  <c r="E55" i="19"/>
  <c r="G55" i="19"/>
  <c r="F4" i="19"/>
  <c r="I53" i="19"/>
  <c r="H27" i="19"/>
  <c r="I27" i="19" s="1"/>
  <c r="H35" i="19"/>
  <c r="I35" i="19" s="1"/>
  <c r="H9" i="19"/>
  <c r="I9" i="19" s="1"/>
  <c r="H45" i="19"/>
  <c r="I45" i="19" s="1"/>
  <c r="F38" i="19"/>
  <c r="H33" i="19"/>
  <c r="I33" i="19" s="1"/>
  <c r="I39" i="19"/>
  <c r="H15" i="19"/>
  <c r="I15" i="19" s="1"/>
  <c r="H43" i="19"/>
  <c r="I43" i="19" s="1"/>
  <c r="I37" i="19"/>
  <c r="H5" i="19"/>
  <c r="I5" i="19" s="1"/>
  <c r="H11" i="19"/>
  <c r="I11" i="19" s="1"/>
  <c r="F43" i="19"/>
  <c r="F15" i="19"/>
  <c r="F11" i="19"/>
  <c r="H25" i="19"/>
  <c r="I25" i="19" s="1"/>
  <c r="E66" i="19"/>
  <c r="E67" i="19"/>
  <c r="I49" i="19"/>
  <c r="F49" i="19"/>
  <c r="E64" i="19"/>
  <c r="H23" i="19"/>
  <c r="I23" i="19" s="1"/>
  <c r="E65" i="19"/>
  <c r="H13" i="19"/>
  <c r="I13" i="19" s="1"/>
  <c r="F23" i="19"/>
  <c r="F9" i="19"/>
  <c r="H29" i="19"/>
  <c r="I29" i="19" s="1"/>
  <c r="H3" i="19"/>
  <c r="H19" i="19"/>
  <c r="I19" i="19" s="1"/>
  <c r="E63" i="19"/>
  <c r="H47" i="19"/>
  <c r="I47" i="19" s="1"/>
  <c r="H17" i="19"/>
  <c r="I17" i="19" s="1"/>
  <c r="H31" i="19"/>
  <c r="I31" i="19" s="1"/>
  <c r="F35" i="19"/>
  <c r="H41" i="19"/>
  <c r="I41" i="19" s="1"/>
  <c r="H7" i="19"/>
  <c r="H21" i="19"/>
  <c r="I21" i="19" s="1"/>
  <c r="F5" i="19"/>
  <c r="F19" i="19"/>
  <c r="F39" i="19"/>
  <c r="F33" i="19"/>
  <c r="F27" i="19"/>
  <c r="F47" i="19"/>
  <c r="E34" i="18"/>
  <c r="E33" i="18"/>
  <c r="E32" i="18"/>
  <c r="E31" i="18"/>
  <c r="E30" i="18"/>
  <c r="E29" i="18"/>
  <c r="E28" i="18"/>
  <c r="F28" i="18" s="1"/>
  <c r="E27" i="18"/>
  <c r="E26" i="18"/>
  <c r="F26" i="18" s="1"/>
  <c r="E25" i="18"/>
  <c r="E23" i="18"/>
  <c r="E22" i="18"/>
  <c r="E21" i="18"/>
  <c r="F21" i="18" s="1"/>
  <c r="E20" i="18"/>
  <c r="E19" i="18"/>
  <c r="E18" i="18"/>
  <c r="E17" i="18"/>
  <c r="F47" i="18"/>
  <c r="F48" i="18"/>
  <c r="E16" i="18"/>
  <c r="E15" i="18"/>
  <c r="E14" i="18"/>
  <c r="E13" i="18"/>
  <c r="E12" i="18"/>
  <c r="E11" i="18"/>
  <c r="E10" i="18"/>
  <c r="F10" i="18" s="1"/>
  <c r="E9" i="18"/>
  <c r="E7" i="18"/>
  <c r="E8" i="18"/>
  <c r="F8" i="18" s="1"/>
  <c r="E6" i="18"/>
  <c r="F6" i="18" s="1"/>
  <c r="E5" i="18"/>
  <c r="E4" i="18"/>
  <c r="E3" i="18"/>
  <c r="F3" i="18" s="1"/>
  <c r="F56" i="18"/>
  <c r="G55" i="18"/>
  <c r="F55" i="18"/>
  <c r="H55" i="18"/>
  <c r="F54" i="18"/>
  <c r="G53" i="18"/>
  <c r="H53" i="18"/>
  <c r="F52" i="18"/>
  <c r="H51" i="18"/>
  <c r="G51" i="18"/>
  <c r="F51" i="18"/>
  <c r="E63" i="18"/>
  <c r="E62" i="18"/>
  <c r="D57" i="18"/>
  <c r="F50" i="18"/>
  <c r="G49" i="18"/>
  <c r="F49" i="18"/>
  <c r="G47" i="18"/>
  <c r="F46" i="18"/>
  <c r="G45" i="18"/>
  <c r="F45" i="18"/>
  <c r="F44" i="18"/>
  <c r="G43" i="18"/>
  <c r="F42" i="18"/>
  <c r="G41" i="18"/>
  <c r="H41" i="18"/>
  <c r="F40" i="18"/>
  <c r="G39" i="18"/>
  <c r="H39" i="18"/>
  <c r="F38" i="18"/>
  <c r="G37" i="18"/>
  <c r="H37" i="18"/>
  <c r="F36" i="18"/>
  <c r="G35" i="18"/>
  <c r="F34" i="18"/>
  <c r="G33" i="18"/>
  <c r="F33" i="18"/>
  <c r="F32" i="18"/>
  <c r="G31" i="18"/>
  <c r="H31" i="18"/>
  <c r="F30" i="18"/>
  <c r="G29" i="18"/>
  <c r="H29" i="18"/>
  <c r="G27" i="18"/>
  <c r="F27" i="18"/>
  <c r="G25" i="18"/>
  <c r="F25" i="18"/>
  <c r="F24" i="18"/>
  <c r="H23" i="18"/>
  <c r="G23" i="18"/>
  <c r="F23" i="18"/>
  <c r="F22" i="18"/>
  <c r="G21" i="18"/>
  <c r="F20" i="18"/>
  <c r="G19" i="18"/>
  <c r="H19" i="18"/>
  <c r="F18" i="18"/>
  <c r="G17" i="18"/>
  <c r="F17" i="18"/>
  <c r="F16" i="18"/>
  <c r="G15" i="18"/>
  <c r="F15" i="18"/>
  <c r="F14" i="18"/>
  <c r="G13" i="18"/>
  <c r="F13" i="18"/>
  <c r="F12" i="18"/>
  <c r="G11" i="18"/>
  <c r="G9" i="18"/>
  <c r="G7" i="18"/>
  <c r="G5" i="18"/>
  <c r="G3" i="18"/>
  <c r="E52" i="17"/>
  <c r="E51" i="17"/>
  <c r="E62" i="16"/>
  <c r="J66" i="17"/>
  <c r="E66" i="17"/>
  <c r="O64" i="17"/>
  <c r="O63" i="17"/>
  <c r="O62" i="17"/>
  <c r="O61" i="17"/>
  <c r="O57" i="14"/>
  <c r="J64" i="17"/>
  <c r="J63" i="17"/>
  <c r="J62" i="17"/>
  <c r="E58" i="17"/>
  <c r="E59" i="17"/>
  <c r="E64" i="17"/>
  <c r="E63" i="17"/>
  <c r="E62" i="17"/>
  <c r="J61" i="17"/>
  <c r="E61" i="17"/>
  <c r="E50" i="17"/>
  <c r="E49" i="17"/>
  <c r="E48" i="17"/>
  <c r="E47" i="17"/>
  <c r="E44" i="17"/>
  <c r="E46" i="17"/>
  <c r="E45" i="17"/>
  <c r="E43" i="17"/>
  <c r="E42" i="17"/>
  <c r="E41" i="17"/>
  <c r="E40" i="17"/>
  <c r="E39" i="17"/>
  <c r="E38" i="17"/>
  <c r="E37" i="17"/>
  <c r="E32" i="17"/>
  <c r="E35" i="17"/>
  <c r="E33" i="17"/>
  <c r="E31" i="17"/>
  <c r="E30" i="17"/>
  <c r="E29" i="17"/>
  <c r="E28" i="17"/>
  <c r="E27" i="17"/>
  <c r="E18" i="17"/>
  <c r="E24" i="17"/>
  <c r="E23" i="17"/>
  <c r="E22" i="17"/>
  <c r="E21" i="17"/>
  <c r="E20" i="17"/>
  <c r="E19" i="17"/>
  <c r="E17" i="17"/>
  <c r="E16" i="17"/>
  <c r="E15" i="17"/>
  <c r="E12" i="17"/>
  <c r="E14" i="17"/>
  <c r="E13" i="17"/>
  <c r="I53" i="26" l="1"/>
  <c r="H57" i="25"/>
  <c r="F57" i="25"/>
  <c r="O67" i="25"/>
  <c r="O68" i="25"/>
  <c r="O69" i="25"/>
  <c r="I15" i="25"/>
  <c r="I57" i="25" s="1"/>
  <c r="J66" i="24"/>
  <c r="J67" i="24"/>
  <c r="F55" i="24"/>
  <c r="I55" i="24"/>
  <c r="H55" i="24"/>
  <c r="E68" i="24"/>
  <c r="O65" i="24"/>
  <c r="O66" i="24"/>
  <c r="J64" i="24"/>
  <c r="O64" i="24"/>
  <c r="O63" i="24"/>
  <c r="O68" i="24" s="1"/>
  <c r="J63" i="24"/>
  <c r="O67" i="24"/>
  <c r="J65" i="24"/>
  <c r="J67" i="19"/>
  <c r="O64" i="19"/>
  <c r="F55" i="19"/>
  <c r="I3" i="19"/>
  <c r="H55" i="19"/>
  <c r="N37" i="19" s="1"/>
  <c r="N38" i="19" s="1"/>
  <c r="E68" i="19"/>
  <c r="O66" i="19"/>
  <c r="O67" i="19"/>
  <c r="J64" i="19"/>
  <c r="I7" i="19"/>
  <c r="J63" i="19"/>
  <c r="J65" i="19"/>
  <c r="J66" i="19"/>
  <c r="O65" i="19"/>
  <c r="H25" i="18"/>
  <c r="H9" i="18"/>
  <c r="E69" i="18"/>
  <c r="I51" i="18"/>
  <c r="E65" i="18"/>
  <c r="I9" i="18"/>
  <c r="H5" i="18"/>
  <c r="I53" i="18"/>
  <c r="I41" i="18"/>
  <c r="I55" i="18"/>
  <c r="F9" i="18"/>
  <c r="I23" i="18"/>
  <c r="E57" i="18"/>
  <c r="H11" i="18"/>
  <c r="I11" i="18" s="1"/>
  <c r="I25" i="18"/>
  <c r="H7" i="18"/>
  <c r="H13" i="18"/>
  <c r="I13" i="18" s="1"/>
  <c r="H43" i="18"/>
  <c r="I43" i="18" s="1"/>
  <c r="F53" i="18"/>
  <c r="F41" i="18"/>
  <c r="F4" i="18"/>
  <c r="H21" i="18"/>
  <c r="I21" i="18" s="1"/>
  <c r="H27" i="18"/>
  <c r="I27" i="18" s="1"/>
  <c r="H35" i="18"/>
  <c r="I35" i="18" s="1"/>
  <c r="I5" i="18"/>
  <c r="F11" i="18"/>
  <c r="H47" i="18"/>
  <c r="I47" i="18" s="1"/>
  <c r="F29" i="18"/>
  <c r="I7" i="18"/>
  <c r="F43" i="18"/>
  <c r="H49" i="18"/>
  <c r="E68" i="18"/>
  <c r="I19" i="18"/>
  <c r="I39" i="18"/>
  <c r="G57" i="18"/>
  <c r="I29" i="18"/>
  <c r="I37" i="18"/>
  <c r="I3" i="18"/>
  <c r="I31" i="18"/>
  <c r="E67" i="18"/>
  <c r="F31" i="18"/>
  <c r="H3" i="18"/>
  <c r="F39" i="18"/>
  <c r="H17" i="18"/>
  <c r="I17" i="18" s="1"/>
  <c r="H45" i="18"/>
  <c r="F35" i="18"/>
  <c r="F7" i="18"/>
  <c r="F5" i="18"/>
  <c r="F37" i="18"/>
  <c r="H15" i="18"/>
  <c r="I15" i="18" s="1"/>
  <c r="F19" i="18"/>
  <c r="O66" i="18" s="1"/>
  <c r="H33" i="18"/>
  <c r="I33" i="18" s="1"/>
  <c r="E66" i="18"/>
  <c r="E11" i="17"/>
  <c r="E10" i="17"/>
  <c r="E9" i="17"/>
  <c r="E8" i="17"/>
  <c r="F8" i="17" s="1"/>
  <c r="E7" i="17"/>
  <c r="H7" i="17" s="1"/>
  <c r="E6" i="17"/>
  <c r="E5" i="17"/>
  <c r="E3" i="17"/>
  <c r="D53" i="17"/>
  <c r="F52" i="17"/>
  <c r="H51" i="17"/>
  <c r="G51" i="17"/>
  <c r="E65" i="17" s="1"/>
  <c r="F51" i="17"/>
  <c r="F50" i="17"/>
  <c r="G49" i="17"/>
  <c r="F49" i="17"/>
  <c r="F48" i="17"/>
  <c r="G47" i="17"/>
  <c r="H47" i="17"/>
  <c r="F46" i="17"/>
  <c r="G45" i="17"/>
  <c r="F44" i="17"/>
  <c r="G43" i="17"/>
  <c r="F42" i="17"/>
  <c r="G41" i="17"/>
  <c r="H41" i="17"/>
  <c r="F40" i="17"/>
  <c r="G39" i="17"/>
  <c r="F39" i="17"/>
  <c r="F38" i="17"/>
  <c r="G37" i="17"/>
  <c r="F36" i="17"/>
  <c r="G35" i="17"/>
  <c r="F34" i="17"/>
  <c r="G33" i="17"/>
  <c r="H33" i="17"/>
  <c r="F32" i="17"/>
  <c r="H31" i="17"/>
  <c r="G31" i="17"/>
  <c r="F31" i="17"/>
  <c r="F30" i="17"/>
  <c r="G29" i="17"/>
  <c r="F29" i="17"/>
  <c r="F28" i="17"/>
  <c r="G27" i="17"/>
  <c r="F26" i="17"/>
  <c r="G25" i="17"/>
  <c r="F24" i="17"/>
  <c r="G23" i="17"/>
  <c r="F22" i="17"/>
  <c r="H21" i="17"/>
  <c r="G21" i="17"/>
  <c r="F21" i="17"/>
  <c r="F20" i="17"/>
  <c r="G19" i="17"/>
  <c r="H19" i="17"/>
  <c r="F18" i="17"/>
  <c r="G17" i="17"/>
  <c r="F17" i="17"/>
  <c r="F16" i="17"/>
  <c r="G15" i="17"/>
  <c r="H15" i="17"/>
  <c r="F14" i="17"/>
  <c r="G13" i="17"/>
  <c r="F12" i="17"/>
  <c r="G11" i="17"/>
  <c r="F11" i="17"/>
  <c r="F10" i="17"/>
  <c r="G9" i="17"/>
  <c r="G7" i="17"/>
  <c r="F6" i="17"/>
  <c r="G5" i="17"/>
  <c r="F5" i="17"/>
  <c r="F4" i="17"/>
  <c r="G3" i="17"/>
  <c r="H3" i="17"/>
  <c r="E56" i="16"/>
  <c r="E55" i="16"/>
  <c r="E54" i="16"/>
  <c r="E53" i="16"/>
  <c r="H53" i="16" s="1"/>
  <c r="E52" i="16"/>
  <c r="H51" i="16" s="1"/>
  <c r="E51" i="16"/>
  <c r="E50" i="16"/>
  <c r="E49" i="16"/>
  <c r="E48" i="16"/>
  <c r="E47" i="16"/>
  <c r="E46" i="16"/>
  <c r="E45" i="16"/>
  <c r="E44" i="16"/>
  <c r="E43" i="16"/>
  <c r="E40" i="16"/>
  <c r="E42" i="16"/>
  <c r="E41" i="16"/>
  <c r="E39" i="16"/>
  <c r="E38" i="16"/>
  <c r="E37" i="16"/>
  <c r="E36" i="16"/>
  <c r="E35" i="16"/>
  <c r="E34" i="16"/>
  <c r="E33" i="16"/>
  <c r="D57" i="16"/>
  <c r="E32" i="16"/>
  <c r="E31" i="16"/>
  <c r="E30" i="16"/>
  <c r="E29" i="16"/>
  <c r="H27" i="16"/>
  <c r="E28" i="16"/>
  <c r="E27" i="16"/>
  <c r="E26" i="16"/>
  <c r="E25" i="16"/>
  <c r="E24" i="16"/>
  <c r="E23" i="16"/>
  <c r="E22" i="16"/>
  <c r="E21" i="16"/>
  <c r="E20" i="16"/>
  <c r="E19" i="16"/>
  <c r="E18" i="16"/>
  <c r="E17" i="16"/>
  <c r="E16" i="16"/>
  <c r="E15" i="16"/>
  <c r="E14" i="16"/>
  <c r="E13" i="16"/>
  <c r="E12" i="16"/>
  <c r="E11" i="16"/>
  <c r="E10" i="16"/>
  <c r="E9" i="16"/>
  <c r="E7" i="16"/>
  <c r="E6" i="16"/>
  <c r="E5" i="16"/>
  <c r="E54" i="15"/>
  <c r="F54" i="15" s="1"/>
  <c r="F56" i="16"/>
  <c r="H55" i="16"/>
  <c r="G55" i="16"/>
  <c r="F55" i="16"/>
  <c r="F54" i="16"/>
  <c r="G53" i="16"/>
  <c r="G51" i="16"/>
  <c r="F51" i="16"/>
  <c r="G53" i="15"/>
  <c r="E53" i="15"/>
  <c r="H53" i="15" s="1"/>
  <c r="N39" i="25" l="1"/>
  <c r="N40" i="25" s="1"/>
  <c r="N43" i="24"/>
  <c r="N44" i="24" s="1"/>
  <c r="J68" i="24"/>
  <c r="I55" i="19"/>
  <c r="J68" i="19"/>
  <c r="O63" i="19"/>
  <c r="O68" i="19" s="1"/>
  <c r="I49" i="18"/>
  <c r="O69" i="18" s="1"/>
  <c r="J69" i="18"/>
  <c r="J65" i="18"/>
  <c r="O65" i="18"/>
  <c r="O67" i="18"/>
  <c r="J68" i="18"/>
  <c r="E70" i="18"/>
  <c r="I45" i="18"/>
  <c r="I57" i="18" s="1"/>
  <c r="J66" i="18"/>
  <c r="J67" i="18"/>
  <c r="H57" i="18"/>
  <c r="O68" i="18"/>
  <c r="F57" i="18"/>
  <c r="I51" i="17"/>
  <c r="J65" i="17"/>
  <c r="O65" i="17"/>
  <c r="E53" i="17"/>
  <c r="G53" i="17"/>
  <c r="H13" i="17"/>
  <c r="I13" i="17" s="1"/>
  <c r="H27" i="17"/>
  <c r="I27" i="17" s="1"/>
  <c r="H35" i="17"/>
  <c r="I35" i="17" s="1"/>
  <c r="H45" i="17"/>
  <c r="I45" i="17" s="1"/>
  <c r="H37" i="17"/>
  <c r="I37" i="17" s="1"/>
  <c r="H23" i="17"/>
  <c r="I23" i="17" s="1"/>
  <c r="I31" i="17"/>
  <c r="I47" i="17"/>
  <c r="H25" i="17"/>
  <c r="I25" i="17" s="1"/>
  <c r="F7" i="17"/>
  <c r="F41" i="17"/>
  <c r="I7" i="17"/>
  <c r="I41" i="17"/>
  <c r="I21" i="17"/>
  <c r="H9" i="17"/>
  <c r="I9" i="17" s="1"/>
  <c r="H43" i="17"/>
  <c r="I43" i="17" s="1"/>
  <c r="H17" i="17"/>
  <c r="I17" i="17" s="1"/>
  <c r="I19" i="17"/>
  <c r="I33" i="17"/>
  <c r="I15" i="17"/>
  <c r="I3" i="17"/>
  <c r="F25" i="17"/>
  <c r="H11" i="17"/>
  <c r="I11" i="17" s="1"/>
  <c r="H5" i="17"/>
  <c r="F9" i="17"/>
  <c r="H29" i="17"/>
  <c r="I29" i="17" s="1"/>
  <c r="F33" i="17"/>
  <c r="H39" i="17"/>
  <c r="I39" i="17" s="1"/>
  <c r="H49" i="17"/>
  <c r="I49" i="17" s="1"/>
  <c r="F23" i="17"/>
  <c r="F43" i="17"/>
  <c r="F13" i="17"/>
  <c r="F37" i="17"/>
  <c r="F35" i="17"/>
  <c r="F45" i="17"/>
  <c r="F15" i="17"/>
  <c r="F19" i="17"/>
  <c r="F3" i="17"/>
  <c r="F27" i="17"/>
  <c r="F47" i="17"/>
  <c r="I55" i="16"/>
  <c r="F53" i="16"/>
  <c r="I53" i="16"/>
  <c r="I51" i="16"/>
  <c r="F52" i="16"/>
  <c r="H33" i="16"/>
  <c r="I53" i="15"/>
  <c r="F53" i="15"/>
  <c r="N43" i="18" l="1"/>
  <c r="N44" i="18" s="1"/>
  <c r="O70" i="18"/>
  <c r="J70" i="18"/>
  <c r="H53" i="17"/>
  <c r="F53" i="17"/>
  <c r="I5" i="17"/>
  <c r="I53" i="17" s="1"/>
  <c r="O66" i="17"/>
  <c r="E63" i="16"/>
  <c r="F50" i="16"/>
  <c r="H49" i="16"/>
  <c r="G49" i="16"/>
  <c r="F49" i="16"/>
  <c r="F48" i="16"/>
  <c r="G47" i="16"/>
  <c r="H47" i="16"/>
  <c r="F46" i="16"/>
  <c r="G45" i="16"/>
  <c r="F45" i="16"/>
  <c r="F44" i="16"/>
  <c r="H43" i="16"/>
  <c r="G43" i="16"/>
  <c r="F43" i="16"/>
  <c r="F42" i="16"/>
  <c r="H41" i="16"/>
  <c r="G41" i="16"/>
  <c r="F41" i="16"/>
  <c r="F40" i="16"/>
  <c r="G39" i="16"/>
  <c r="H39" i="16"/>
  <c r="F38" i="16"/>
  <c r="G37" i="16"/>
  <c r="F37" i="16"/>
  <c r="H37" i="16"/>
  <c r="F36" i="16"/>
  <c r="G35" i="16"/>
  <c r="H35" i="16"/>
  <c r="F34" i="16"/>
  <c r="G33" i="16"/>
  <c r="F33" i="16"/>
  <c r="F32" i="16"/>
  <c r="H31" i="16"/>
  <c r="G31" i="16"/>
  <c r="F31" i="16"/>
  <c r="F30" i="16"/>
  <c r="H29" i="16"/>
  <c r="G29" i="16"/>
  <c r="F29" i="16"/>
  <c r="F28" i="16"/>
  <c r="G27" i="16"/>
  <c r="F27" i="16"/>
  <c r="F26" i="16"/>
  <c r="G25" i="16"/>
  <c r="H25" i="16"/>
  <c r="F24" i="16"/>
  <c r="G23" i="16"/>
  <c r="H23" i="16"/>
  <c r="F22" i="16"/>
  <c r="G21" i="16"/>
  <c r="F21" i="16"/>
  <c r="F20" i="16"/>
  <c r="G19" i="16"/>
  <c r="F19" i="16"/>
  <c r="H19" i="16"/>
  <c r="F18" i="16"/>
  <c r="G17" i="16"/>
  <c r="H17" i="16"/>
  <c r="F16" i="16"/>
  <c r="H15" i="16"/>
  <c r="G15" i="16"/>
  <c r="F15" i="16"/>
  <c r="F14" i="16"/>
  <c r="H13" i="16"/>
  <c r="G13" i="16"/>
  <c r="F13" i="16"/>
  <c r="F12" i="16"/>
  <c r="G11" i="16"/>
  <c r="H11" i="16"/>
  <c r="F10" i="16"/>
  <c r="G9" i="16"/>
  <c r="H9" i="16"/>
  <c r="F8" i="16"/>
  <c r="G7" i="16"/>
  <c r="F7" i="16"/>
  <c r="F6" i="16"/>
  <c r="H5" i="16"/>
  <c r="G5" i="16"/>
  <c r="F5" i="16"/>
  <c r="F4" i="16"/>
  <c r="H3" i="16"/>
  <c r="G3" i="16"/>
  <c r="F3" i="16"/>
  <c r="E52" i="15"/>
  <c r="E51" i="15"/>
  <c r="E50" i="15"/>
  <c r="E49" i="15"/>
  <c r="E48" i="15"/>
  <c r="E47" i="15"/>
  <c r="E46" i="15"/>
  <c r="E45" i="15"/>
  <c r="E44" i="15"/>
  <c r="E43" i="15"/>
  <c r="E42" i="15"/>
  <c r="E41" i="15"/>
  <c r="E40" i="15"/>
  <c r="E39" i="15"/>
  <c r="E38" i="15"/>
  <c r="E37" i="15"/>
  <c r="E36" i="15"/>
  <c r="E35" i="15"/>
  <c r="E32" i="15"/>
  <c r="E31" i="15"/>
  <c r="E30" i="15"/>
  <c r="E29" i="15"/>
  <c r="E28" i="15"/>
  <c r="E27" i="15"/>
  <c r="E26" i="15"/>
  <c r="E25" i="15"/>
  <c r="E23" i="15"/>
  <c r="G57" i="16" l="1"/>
  <c r="N45" i="17"/>
  <c r="N46" i="17" s="1"/>
  <c r="E69" i="16"/>
  <c r="I33" i="16"/>
  <c r="I29" i="16"/>
  <c r="I27" i="16"/>
  <c r="I15" i="16"/>
  <c r="I13" i="16"/>
  <c r="I19" i="16"/>
  <c r="J68" i="16"/>
  <c r="E67" i="16"/>
  <c r="I47" i="16"/>
  <c r="I41" i="16"/>
  <c r="I43" i="16"/>
  <c r="E68" i="16"/>
  <c r="I23" i="16"/>
  <c r="I3" i="16"/>
  <c r="I11" i="16"/>
  <c r="I25" i="16"/>
  <c r="E66" i="16"/>
  <c r="I31" i="16"/>
  <c r="I5" i="16"/>
  <c r="I49" i="16"/>
  <c r="I35" i="16"/>
  <c r="I17" i="16"/>
  <c r="I37" i="16"/>
  <c r="J66" i="16"/>
  <c r="I9" i="16"/>
  <c r="I39" i="16"/>
  <c r="F17" i="16"/>
  <c r="F35" i="16"/>
  <c r="F39" i="16"/>
  <c r="H45" i="16"/>
  <c r="J69" i="16" s="1"/>
  <c r="F9" i="16"/>
  <c r="F23" i="16"/>
  <c r="F47" i="16"/>
  <c r="E57" i="16"/>
  <c r="H7" i="16"/>
  <c r="J65" i="16" s="1"/>
  <c r="F11" i="16"/>
  <c r="H21" i="16"/>
  <c r="J67" i="16" s="1"/>
  <c r="F25" i="16"/>
  <c r="E65" i="16"/>
  <c r="E67" i="15"/>
  <c r="E63" i="15"/>
  <c r="J64" i="15"/>
  <c r="J63" i="15"/>
  <c r="O63" i="15"/>
  <c r="E22" i="15"/>
  <c r="E21" i="15"/>
  <c r="E20" i="15"/>
  <c r="F20" i="15" s="1"/>
  <c r="E19" i="15"/>
  <c r="E16" i="15"/>
  <c r="H15" i="15" s="1"/>
  <c r="E17" i="15"/>
  <c r="E18" i="15"/>
  <c r="E15" i="15"/>
  <c r="F15" i="15" s="1"/>
  <c r="E14" i="15"/>
  <c r="E13" i="15"/>
  <c r="E12" i="15"/>
  <c r="F12" i="15" s="1"/>
  <c r="E11" i="15"/>
  <c r="F11" i="15" s="1"/>
  <c r="E10" i="15"/>
  <c r="F10" i="15" s="1"/>
  <c r="E9" i="15"/>
  <c r="E8" i="15"/>
  <c r="E7" i="15"/>
  <c r="E5" i="15"/>
  <c r="H5" i="15" s="1"/>
  <c r="E4" i="15"/>
  <c r="E3" i="15"/>
  <c r="D55" i="15"/>
  <c r="F52" i="15"/>
  <c r="H51" i="15"/>
  <c r="J67" i="15" s="1"/>
  <c r="G51" i="15"/>
  <c r="F51" i="15"/>
  <c r="F38" i="15"/>
  <c r="H37" i="15"/>
  <c r="G37" i="15"/>
  <c r="F37" i="15"/>
  <c r="E61" i="15"/>
  <c r="F50" i="15"/>
  <c r="G49" i="15"/>
  <c r="H49" i="15"/>
  <c r="F48" i="15"/>
  <c r="H47" i="15"/>
  <c r="G47" i="15"/>
  <c r="F47" i="15"/>
  <c r="F46" i="15"/>
  <c r="H45" i="15"/>
  <c r="G45" i="15"/>
  <c r="F45" i="15"/>
  <c r="F44" i="15"/>
  <c r="G43" i="15"/>
  <c r="H43" i="15"/>
  <c r="F42" i="15"/>
  <c r="G41" i="15"/>
  <c r="F41" i="15"/>
  <c r="F40" i="15"/>
  <c r="G39" i="15"/>
  <c r="F39" i="15"/>
  <c r="H35" i="15"/>
  <c r="G35" i="15"/>
  <c r="F35" i="15"/>
  <c r="F34" i="15"/>
  <c r="H33" i="15"/>
  <c r="G33" i="15"/>
  <c r="F33" i="15"/>
  <c r="F32" i="15"/>
  <c r="H31" i="15"/>
  <c r="G31" i="15"/>
  <c r="F31" i="15"/>
  <c r="F30" i="15"/>
  <c r="G29" i="15"/>
  <c r="F29" i="15"/>
  <c r="F28" i="15"/>
  <c r="G27" i="15"/>
  <c r="H27" i="15"/>
  <c r="F26" i="15"/>
  <c r="G25" i="15"/>
  <c r="H25" i="15"/>
  <c r="F24" i="15"/>
  <c r="H23" i="15"/>
  <c r="G23" i="15"/>
  <c r="E64" i="15" s="1"/>
  <c r="F23" i="15"/>
  <c r="F22" i="15"/>
  <c r="G21" i="15"/>
  <c r="G19" i="15"/>
  <c r="F19" i="15"/>
  <c r="F18" i="15"/>
  <c r="G17" i="15"/>
  <c r="G15" i="15"/>
  <c r="F14" i="15"/>
  <c r="G13" i="15"/>
  <c r="G11" i="15"/>
  <c r="G9" i="15"/>
  <c r="F9" i="15"/>
  <c r="G7" i="15"/>
  <c r="F6" i="15"/>
  <c r="G5" i="15"/>
  <c r="F4" i="15"/>
  <c r="H3" i="15"/>
  <c r="G3" i="15"/>
  <c r="E48" i="14"/>
  <c r="E47" i="14"/>
  <c r="E46" i="14"/>
  <c r="I45" i="16" l="1"/>
  <c r="H57" i="16"/>
  <c r="F57" i="16"/>
  <c r="O66" i="16"/>
  <c r="E70" i="16"/>
  <c r="J70" i="16"/>
  <c r="I7" i="16"/>
  <c r="O65" i="16" s="1"/>
  <c r="O68" i="16"/>
  <c r="I21" i="16"/>
  <c r="O67" i="16" s="1"/>
  <c r="O69" i="16"/>
  <c r="I51" i="15"/>
  <c r="E66" i="15"/>
  <c r="I37" i="15"/>
  <c r="E65" i="15"/>
  <c r="H21" i="15"/>
  <c r="H19" i="15"/>
  <c r="H17" i="15"/>
  <c r="F17" i="15"/>
  <c r="F16" i="15"/>
  <c r="H13" i="15"/>
  <c r="H7" i="15"/>
  <c r="F7" i="15"/>
  <c r="E55" i="15"/>
  <c r="I3" i="15"/>
  <c r="G55" i="15"/>
  <c r="I31" i="15"/>
  <c r="I35" i="15"/>
  <c r="I19" i="15"/>
  <c r="I33" i="15"/>
  <c r="I43" i="15"/>
  <c r="I27" i="15"/>
  <c r="I23" i="15"/>
  <c r="O64" i="15" s="1"/>
  <c r="I47" i="15"/>
  <c r="I15" i="15"/>
  <c r="I45" i="15"/>
  <c r="I17" i="15"/>
  <c r="I21" i="15"/>
  <c r="I25" i="15"/>
  <c r="I49" i="15"/>
  <c r="I13" i="15"/>
  <c r="I5" i="15"/>
  <c r="H11" i="15"/>
  <c r="I11" i="15" s="1"/>
  <c r="H41" i="15"/>
  <c r="I41" i="15" s="1"/>
  <c r="F5" i="15"/>
  <c r="F8" i="15"/>
  <c r="H29" i="15"/>
  <c r="I29" i="15" s="1"/>
  <c r="F36" i="15"/>
  <c r="F27" i="15"/>
  <c r="H9" i="15"/>
  <c r="I9" i="15" s="1"/>
  <c r="F13" i="15"/>
  <c r="H39" i="15"/>
  <c r="J66" i="15" s="1"/>
  <c r="F43" i="15"/>
  <c r="F21" i="15"/>
  <c r="F49" i="15"/>
  <c r="E60" i="15"/>
  <c r="F3" i="15"/>
  <c r="F25" i="15"/>
  <c r="I57" i="16" l="1"/>
  <c r="N44" i="16"/>
  <c r="N45" i="16" s="1"/>
  <c r="O70" i="16"/>
  <c r="J65" i="15"/>
  <c r="J68" i="15" s="1"/>
  <c r="O65" i="15"/>
  <c r="H55" i="15"/>
  <c r="I7" i="15"/>
  <c r="F55" i="15"/>
  <c r="I39" i="15"/>
  <c r="E68" i="15"/>
  <c r="N48" i="15" l="1"/>
  <c r="N49" i="15" s="1"/>
  <c r="O67" i="15"/>
  <c r="O66" i="15"/>
  <c r="O68" i="15" s="1"/>
  <c r="I55" i="15"/>
  <c r="E45" i="14"/>
  <c r="H45" i="14" s="1"/>
  <c r="E44" i="14"/>
  <c r="E43" i="14"/>
  <c r="E42" i="14"/>
  <c r="E41" i="14"/>
  <c r="E40" i="14"/>
  <c r="F40" i="14"/>
  <c r="E39" i="14"/>
  <c r="E38" i="14"/>
  <c r="F38" i="14" s="1"/>
  <c r="E37" i="14"/>
  <c r="E36" i="14"/>
  <c r="H35" i="14" s="1"/>
  <c r="E35" i="14"/>
  <c r="E34" i="14"/>
  <c r="F34" i="14" s="1"/>
  <c r="E33" i="14"/>
  <c r="F33" i="14" s="1"/>
  <c r="E32" i="14"/>
  <c r="E31" i="14"/>
  <c r="E30" i="14"/>
  <c r="E29" i="14"/>
  <c r="F29" i="14" s="1"/>
  <c r="E28" i="14"/>
  <c r="E27" i="14"/>
  <c r="E26" i="14"/>
  <c r="E25" i="14"/>
  <c r="F25" i="14" s="1"/>
  <c r="E22" i="14"/>
  <c r="F22" i="14" s="1"/>
  <c r="E21" i="14"/>
  <c r="E20" i="14"/>
  <c r="E19" i="14"/>
  <c r="E18" i="14"/>
  <c r="F18" i="14" s="1"/>
  <c r="E17" i="14"/>
  <c r="F17" i="14" s="1"/>
  <c r="E16" i="14"/>
  <c r="E15" i="14"/>
  <c r="E14" i="14"/>
  <c r="F14" i="14" s="1"/>
  <c r="E13" i="14"/>
  <c r="E12" i="14"/>
  <c r="E11" i="14"/>
  <c r="E10" i="14"/>
  <c r="E9" i="14"/>
  <c r="E8" i="14"/>
  <c r="E7" i="14"/>
  <c r="E5" i="14"/>
  <c r="E6" i="14"/>
  <c r="E3" i="14"/>
  <c r="D49" i="14"/>
  <c r="F48" i="14"/>
  <c r="H47" i="14"/>
  <c r="G47" i="14"/>
  <c r="F47" i="14"/>
  <c r="F46" i="14"/>
  <c r="G45" i="14"/>
  <c r="E50" i="13"/>
  <c r="E49" i="13"/>
  <c r="E48" i="13"/>
  <c r="E47" i="13"/>
  <c r="F42" i="14"/>
  <c r="E55" i="14"/>
  <c r="F44" i="14"/>
  <c r="G43" i="14"/>
  <c r="G41" i="14"/>
  <c r="G39" i="14"/>
  <c r="G37" i="14"/>
  <c r="G35" i="14"/>
  <c r="F35" i="14"/>
  <c r="G33" i="14"/>
  <c r="F32" i="14"/>
  <c r="G31" i="14"/>
  <c r="H31" i="14"/>
  <c r="F30" i="14"/>
  <c r="G29" i="14"/>
  <c r="F28" i="14"/>
  <c r="G27" i="14"/>
  <c r="H25" i="14"/>
  <c r="G25" i="14"/>
  <c r="F24" i="14"/>
  <c r="G23" i="14"/>
  <c r="F23" i="14"/>
  <c r="G21" i="14"/>
  <c r="F20" i="14"/>
  <c r="G19" i="14"/>
  <c r="G17" i="14"/>
  <c r="F16" i="14"/>
  <c r="G15" i="14"/>
  <c r="G13" i="14"/>
  <c r="F12" i="14"/>
  <c r="G11" i="14"/>
  <c r="F10" i="14"/>
  <c r="G9" i="14"/>
  <c r="F8" i="14"/>
  <c r="G7" i="14"/>
  <c r="F6" i="14"/>
  <c r="G5" i="14"/>
  <c r="F4" i="14"/>
  <c r="G3" i="14"/>
  <c r="G19" i="13"/>
  <c r="G21" i="13"/>
  <c r="G23" i="13"/>
  <c r="G25" i="13"/>
  <c r="E46" i="13"/>
  <c r="E45" i="13"/>
  <c r="E44" i="13"/>
  <c r="E43" i="13"/>
  <c r="E42" i="13"/>
  <c r="E41" i="13"/>
  <c r="E40" i="13"/>
  <c r="E39" i="13"/>
  <c r="E38" i="13"/>
  <c r="E37" i="13"/>
  <c r="E36" i="13"/>
  <c r="E35" i="13"/>
  <c r="E34" i="13"/>
  <c r="E33" i="13"/>
  <c r="E32" i="13"/>
  <c r="E31" i="13"/>
  <c r="E30" i="13"/>
  <c r="E29" i="13"/>
  <c r="E28" i="13"/>
  <c r="E27" i="13"/>
  <c r="E25" i="13"/>
  <c r="F25" i="13" s="1"/>
  <c r="F45" i="14" l="1"/>
  <c r="H43" i="14"/>
  <c r="F43" i="14"/>
  <c r="H39" i="14"/>
  <c r="H37" i="14"/>
  <c r="F37" i="14"/>
  <c r="F36" i="14"/>
  <c r="H33" i="14"/>
  <c r="I33" i="14" s="1"/>
  <c r="H29" i="14"/>
  <c r="J60" i="14" s="1"/>
  <c r="H27" i="14"/>
  <c r="H21" i="14"/>
  <c r="I21" i="14" s="1"/>
  <c r="H19" i="14"/>
  <c r="I19" i="14" s="1"/>
  <c r="F19" i="14"/>
  <c r="H15" i="14"/>
  <c r="H13" i="14"/>
  <c r="I13" i="14" s="1"/>
  <c r="H11" i="14"/>
  <c r="H9" i="14"/>
  <c r="I9" i="14" s="1"/>
  <c r="H7" i="14"/>
  <c r="E49" i="14"/>
  <c r="H5" i="14"/>
  <c r="F5" i="14"/>
  <c r="F3" i="14"/>
  <c r="H3" i="14"/>
  <c r="J57" i="14" s="1"/>
  <c r="G49" i="14"/>
  <c r="I47" i="14"/>
  <c r="I35" i="14"/>
  <c r="I37" i="14"/>
  <c r="I45" i="14"/>
  <c r="I39" i="14"/>
  <c r="E58" i="14"/>
  <c r="E61" i="14"/>
  <c r="I27" i="14"/>
  <c r="I3" i="14"/>
  <c r="I5" i="14"/>
  <c r="I15" i="14"/>
  <c r="I43" i="14"/>
  <c r="H41" i="14"/>
  <c r="F41" i="14"/>
  <c r="I11" i="14"/>
  <c r="I31" i="14"/>
  <c r="I25" i="14"/>
  <c r="I7" i="14"/>
  <c r="E60" i="14"/>
  <c r="E59" i="14"/>
  <c r="F26" i="14"/>
  <c r="F13" i="14"/>
  <c r="F27" i="14"/>
  <c r="F31" i="14"/>
  <c r="J61" i="14"/>
  <c r="F9" i="14"/>
  <c r="E54" i="14"/>
  <c r="J58" i="14"/>
  <c r="F7" i="14"/>
  <c r="H17" i="14"/>
  <c r="I17" i="14" s="1"/>
  <c r="F21" i="14"/>
  <c r="F39" i="14"/>
  <c r="E57" i="14"/>
  <c r="H23" i="14"/>
  <c r="I23" i="14" s="1"/>
  <c r="F11" i="14"/>
  <c r="F15" i="14"/>
  <c r="E26" i="13"/>
  <c r="F26" i="13" s="1"/>
  <c r="E24" i="13"/>
  <c r="F24" i="13" s="1"/>
  <c r="E23" i="13"/>
  <c r="F23" i="13" s="1"/>
  <c r="E22" i="13"/>
  <c r="F22" i="13" s="1"/>
  <c r="E21" i="13"/>
  <c r="F21" i="13" s="1"/>
  <c r="I29" i="14" l="1"/>
  <c r="F49" i="14"/>
  <c r="H49" i="14"/>
  <c r="O60" i="14"/>
  <c r="O59" i="14"/>
  <c r="O58" i="14"/>
  <c r="E62" i="14"/>
  <c r="I41" i="14"/>
  <c r="J59" i="14"/>
  <c r="J62" i="14" s="1"/>
  <c r="O61" i="14"/>
  <c r="E20" i="13"/>
  <c r="E19" i="13"/>
  <c r="E18" i="13"/>
  <c r="E17" i="13"/>
  <c r="E15" i="13"/>
  <c r="E14" i="13"/>
  <c r="E13" i="13"/>
  <c r="E12" i="13"/>
  <c r="E11" i="13"/>
  <c r="E10" i="13"/>
  <c r="E9" i="13"/>
  <c r="N45" i="14" l="1"/>
  <c r="N46" i="14" s="1"/>
  <c r="O62" i="14"/>
  <c r="I49" i="14"/>
  <c r="E8" i="13"/>
  <c r="F8" i="13" s="1"/>
  <c r="E7" i="13"/>
  <c r="E5" i="13"/>
  <c r="E58" i="13"/>
  <c r="D51" i="13"/>
  <c r="F50" i="13"/>
  <c r="G49" i="13"/>
  <c r="H49" i="13"/>
  <c r="F48" i="13"/>
  <c r="H47" i="13"/>
  <c r="G47" i="13"/>
  <c r="F47" i="13"/>
  <c r="F46" i="13"/>
  <c r="G45" i="13"/>
  <c r="F45" i="13"/>
  <c r="F44" i="13"/>
  <c r="H43" i="13"/>
  <c r="G43" i="13"/>
  <c r="F43" i="13"/>
  <c r="F42" i="13"/>
  <c r="G41" i="13"/>
  <c r="E64" i="13" s="1"/>
  <c r="H41" i="13"/>
  <c r="J64" i="13" s="1"/>
  <c r="F40" i="13"/>
  <c r="G39" i="13"/>
  <c r="H39" i="13"/>
  <c r="F38" i="13"/>
  <c r="G37" i="13"/>
  <c r="H37" i="13"/>
  <c r="F36" i="13"/>
  <c r="G35" i="13"/>
  <c r="H35" i="13"/>
  <c r="F34" i="13"/>
  <c r="H33" i="13"/>
  <c r="G33" i="13"/>
  <c r="F33" i="13"/>
  <c r="F32" i="13"/>
  <c r="G31" i="13"/>
  <c r="F31" i="13"/>
  <c r="F30" i="13"/>
  <c r="H29" i="13"/>
  <c r="G29" i="13"/>
  <c r="F29" i="13"/>
  <c r="F28" i="13"/>
  <c r="G27" i="13"/>
  <c r="H27" i="13"/>
  <c r="H25" i="13"/>
  <c r="H23" i="13"/>
  <c r="H21" i="13"/>
  <c r="I21" i="13" s="1"/>
  <c r="F20" i="13"/>
  <c r="H19" i="13"/>
  <c r="F19" i="13"/>
  <c r="F18" i="13"/>
  <c r="G17" i="13"/>
  <c r="F17" i="13"/>
  <c r="H17" i="13"/>
  <c r="F16" i="13"/>
  <c r="H15" i="13"/>
  <c r="G15" i="13"/>
  <c r="I15" i="13" s="1"/>
  <c r="F15" i="13"/>
  <c r="F14" i="13"/>
  <c r="G13" i="13"/>
  <c r="H13" i="13"/>
  <c r="F12" i="13"/>
  <c r="G11" i="13"/>
  <c r="F11" i="13"/>
  <c r="F10" i="13"/>
  <c r="G9" i="13"/>
  <c r="H9" i="13"/>
  <c r="H7" i="13"/>
  <c r="G7" i="13"/>
  <c r="F7" i="13"/>
  <c r="F6" i="13"/>
  <c r="H5" i="13"/>
  <c r="G5" i="13"/>
  <c r="F5" i="13"/>
  <c r="F4" i="13"/>
  <c r="H3" i="13"/>
  <c r="J60" i="13" s="1"/>
  <c r="G3" i="13"/>
  <c r="F3" i="13"/>
  <c r="E51" i="13"/>
  <c r="I43" i="13" l="1"/>
  <c r="G51" i="13"/>
  <c r="I33" i="13"/>
  <c r="I35" i="13"/>
  <c r="I19" i="13"/>
  <c r="E62" i="13"/>
  <c r="I13" i="13"/>
  <c r="I5" i="13"/>
  <c r="I3" i="13"/>
  <c r="I9" i="13"/>
  <c r="E63" i="13"/>
  <c r="I47" i="13"/>
  <c r="O64" i="13" s="1"/>
  <c r="I7" i="13"/>
  <c r="I29" i="13"/>
  <c r="E57" i="13"/>
  <c r="I25" i="13"/>
  <c r="I41" i="13"/>
  <c r="I49" i="13"/>
  <c r="I23" i="13"/>
  <c r="I37" i="13"/>
  <c r="J62" i="13"/>
  <c r="I39" i="13"/>
  <c r="I17" i="13"/>
  <c r="I27" i="13"/>
  <c r="F37" i="13"/>
  <c r="F41" i="13"/>
  <c r="H11" i="13"/>
  <c r="I11" i="13" s="1"/>
  <c r="F27" i="13"/>
  <c r="F49" i="13"/>
  <c r="F35" i="13"/>
  <c r="H45" i="13"/>
  <c r="I45" i="13" s="1"/>
  <c r="E60" i="13"/>
  <c r="F9" i="13"/>
  <c r="H31" i="13"/>
  <c r="J63" i="13" s="1"/>
  <c r="F39" i="13"/>
  <c r="F13" i="13"/>
  <c r="E61" i="13"/>
  <c r="O61" i="13" l="1"/>
  <c r="I31" i="13"/>
  <c r="O63" i="13" s="1"/>
  <c r="F51" i="13"/>
  <c r="J61" i="13"/>
  <c r="J65" i="13" s="1"/>
  <c r="E65" i="13"/>
  <c r="H51" i="13"/>
  <c r="N40" i="13" s="1"/>
  <c r="N41" i="13" s="1"/>
  <c r="I51" i="13"/>
  <c r="O60" i="13"/>
  <c r="O62" i="13"/>
  <c r="O65" i="13" l="1"/>
  <c r="D30" i="12" l="1"/>
  <c r="D31" i="12"/>
  <c r="D35" i="12"/>
  <c r="D36" i="12"/>
  <c r="D29" i="12" l="1"/>
  <c r="D32" i="12"/>
  <c r="D34" i="12"/>
  <c r="D33" i="12"/>
  <c r="D27" i="12"/>
  <c r="D28" i="12"/>
  <c r="D26" i="12"/>
  <c r="G10" i="11" l="1"/>
  <c r="G54" i="11"/>
  <c r="H53" i="11"/>
  <c r="G52" i="11"/>
  <c r="H51" i="11"/>
  <c r="G51" i="11"/>
  <c r="G50" i="11"/>
  <c r="H49" i="11"/>
  <c r="G49" i="11"/>
  <c r="E64" i="11"/>
  <c r="B37" i="12"/>
  <c r="G48" i="11"/>
  <c r="H47" i="11"/>
  <c r="G47" i="11"/>
  <c r="G46" i="11"/>
  <c r="H45" i="11"/>
  <c r="G45" i="11"/>
  <c r="G44" i="11"/>
  <c r="H43" i="11"/>
  <c r="G43" i="11"/>
  <c r="G42" i="11"/>
  <c r="H41" i="11"/>
  <c r="G40" i="11"/>
  <c r="H39" i="11"/>
  <c r="G38" i="11"/>
  <c r="H37" i="11"/>
  <c r="G37" i="11"/>
  <c r="G36" i="11"/>
  <c r="H35" i="11"/>
  <c r="G35" i="11"/>
  <c r="G34" i="11"/>
  <c r="H33" i="11"/>
  <c r="G32" i="11"/>
  <c r="H31" i="11"/>
  <c r="G30" i="11"/>
  <c r="H29" i="11"/>
  <c r="G28" i="11"/>
  <c r="H27" i="11"/>
  <c r="G26" i="11"/>
  <c r="H25" i="11"/>
  <c r="G25" i="11"/>
  <c r="G24" i="11"/>
  <c r="H23" i="11"/>
  <c r="G22" i="11"/>
  <c r="H21" i="11"/>
  <c r="G21" i="11"/>
  <c r="G20" i="11"/>
  <c r="H19" i="11"/>
  <c r="G19" i="11"/>
  <c r="G18" i="11"/>
  <c r="H17" i="11"/>
  <c r="G17" i="11"/>
  <c r="G16" i="11"/>
  <c r="H15" i="11"/>
  <c r="G14" i="11"/>
  <c r="H13" i="11"/>
  <c r="G12" i="11"/>
  <c r="H11" i="11"/>
  <c r="H9" i="11"/>
  <c r="G8" i="11"/>
  <c r="H7" i="11"/>
  <c r="G7" i="11"/>
  <c r="G6" i="11"/>
  <c r="H5" i="11"/>
  <c r="G4" i="11"/>
  <c r="H3" i="11"/>
  <c r="I3" i="11"/>
  <c r="J3" i="11" l="1"/>
  <c r="H57" i="11"/>
  <c r="J53" i="11"/>
  <c r="J49" i="11"/>
  <c r="J43" i="11"/>
  <c r="E68" i="11"/>
  <c r="J15" i="11"/>
  <c r="J21" i="11"/>
  <c r="G23" i="11"/>
  <c r="G53" i="11"/>
  <c r="J11" i="11"/>
  <c r="J7" i="11"/>
  <c r="G15" i="11"/>
  <c r="J31" i="11"/>
  <c r="G41" i="11"/>
  <c r="J25" i="11"/>
  <c r="G31" i="11"/>
  <c r="J37" i="11"/>
  <c r="J47" i="11"/>
  <c r="G3" i="11"/>
  <c r="J27" i="11"/>
  <c r="J17" i="11"/>
  <c r="E69" i="11"/>
  <c r="G39" i="11"/>
  <c r="E63" i="11"/>
  <c r="J5" i="11"/>
  <c r="J39" i="11"/>
  <c r="J23" i="11"/>
  <c r="K70" i="11"/>
  <c r="J13" i="11"/>
  <c r="J19" i="11"/>
  <c r="J35" i="11"/>
  <c r="J41" i="11"/>
  <c r="G11" i="11"/>
  <c r="G29" i="11"/>
  <c r="E66" i="11"/>
  <c r="E70" i="11"/>
  <c r="G5" i="11"/>
  <c r="E67" i="11"/>
  <c r="G9" i="11"/>
  <c r="G27" i="11"/>
  <c r="J33" i="11"/>
  <c r="G13" i="11"/>
  <c r="G57" i="11" l="1"/>
  <c r="K68" i="11"/>
  <c r="I57" i="11"/>
  <c r="O44" i="11" s="1"/>
  <c r="O45" i="11" s="1"/>
  <c r="J9" i="11"/>
  <c r="P67" i="11" s="1"/>
  <c r="K67" i="11"/>
  <c r="K69" i="11"/>
  <c r="J51" i="11"/>
  <c r="K66" i="11"/>
  <c r="J45" i="11"/>
  <c r="P70" i="11" s="1"/>
  <c r="J29" i="11"/>
  <c r="P68" i="11" s="1"/>
  <c r="P69" i="11"/>
  <c r="E71" i="11"/>
  <c r="P66" i="11"/>
  <c r="J57" i="11" l="1"/>
  <c r="K71" i="11"/>
  <c r="P71" i="11"/>
  <c r="D25" i="12" l="1"/>
  <c r="D37" i="12" s="1"/>
  <c r="C37" i="12"/>
  <c r="F3" i="3"/>
  <c r="F2" i="3"/>
  <c r="K6" i="3" s="1"/>
  <c r="F4" i="3" l="1"/>
  <c r="L6" i="3" s="1"/>
  <c r="M6" i="3" s="1"/>
  <c r="E2" i="3" l="1"/>
  <c r="K5" i="3" s="1"/>
  <c r="E3" i="3" l="1"/>
  <c r="E4" i="3"/>
  <c r="L5" i="3" s="1"/>
  <c r="M5" i="3" s="1"/>
  <c r="D2" i="3" l="1"/>
  <c r="K4" i="3" s="1"/>
  <c r="D3" i="3" l="1"/>
  <c r="D4" i="3"/>
  <c r="L4" i="3" s="1"/>
  <c r="M4" i="3" s="1"/>
  <c r="C2" i="3" l="1"/>
  <c r="K3" i="3" s="1"/>
  <c r="C3" i="3" l="1"/>
  <c r="C4" i="3" l="1"/>
  <c r="L3" i="3" s="1"/>
  <c r="M3" i="3" s="1"/>
  <c r="B2" i="3" l="1"/>
  <c r="K2" i="3" s="1"/>
  <c r="K7" i="3" s="1"/>
  <c r="B3" i="3"/>
  <c r="B4" i="3" l="1"/>
  <c r="L2" i="3"/>
  <c r="L7" i="3" l="1"/>
  <c r="M2" i="3"/>
  <c r="M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tc={7B3D6C4B-7614-40A5-A1F4-EE8E043B4D3B}</author>
    <author>tc={F11282C6-C711-4C25-823D-FC8291948C82}</author>
    <author>tc={77695D2F-76D3-4AD5-8606-4860E193BC4B}</author>
    <author>tc={3A178DA6-0371-4F78-ABAE-7EDD2AA77191}</author>
    <author>tc={6AB779E9-B8E1-410A-B997-6A4068DA1FA0}</author>
    <author>tc={00C44A35-BE8C-4E13-84C1-744E0C8558A5}</author>
    <author>tc={97034A98-346D-414C-855B-CB862C5EB337}</author>
    <author>tc={CB621765-16EA-4F5F-B348-FE71DCA2A013}</author>
    <author>tc={C300C72E-1269-4B8B-9CB5-0DD06108691E}</author>
    <author>tc={C022C0EA-3EFD-4F22-A40F-E3F65580A6BC}</author>
    <author>tc={A80963F5-B965-4807-8EAA-2B3860D3D8FA}</author>
    <author>tc={1426A5F8-BC78-4773-94B7-DACABEDBDE2A}</author>
    <author>tc={22CF2338-0080-41DB-BF08-83B774E289E0}</author>
    <author>tc={74C926B5-A44A-4F26-838A-86ECA960BA3B}</author>
    <author>tc={393982E6-D87E-4B32-9159-2339EF1A09F5}</author>
    <author>tc={C141DF82-CC81-4283-BA70-0BAF145EBB98}</author>
    <author>tc={7167536A-0DD1-4DE9-A4DD-C246E23A4D9F}</author>
    <author>tc={809BE086-DAB1-46A1-BAB1-7CD8F52DDC83}</author>
    <author>tc={A2E1A140-5FD0-4DC9-BE5E-5D65BD4DA42E}</author>
    <author>tc={B508AF1F-144E-449A-BE55-96C3A5F5D5F8}</author>
    <author>tc={7ACFF64F-B0BD-41AA-90F2-247BD1C80170}</author>
    <author>tc={4A514D76-C13C-4F49-8270-B603CA2CD683}</author>
    <author>tc={1527A274-5910-4F3D-B361-19B170A469A9}</author>
    <author>tc={E99D28FE-3913-48D7-92A8-8A1B2D07F45E}</author>
    <author>tc={4AE747EC-56BA-4735-819B-FF59BA9E00D9}</author>
    <author>tc={FC747BC9-823D-4A29-8546-0C251786FEE3}</author>
  </authors>
  <commentList>
    <comment ref="I5" authorId="0" shapeId="0" xr:uid="{7B3D6C4B-7614-40A5-A1F4-EE8E043B4D3B}">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DÍA VIERNES 
- LORSANI $177,825.65
- VALE: $40.500
- ⁠CANGIANO $60.766,18
- Sofi Adelanto : $10.000</t>
      </text>
    </comment>
    <comment ref="I7" authorId="1" shapeId="0" xr:uid="{F11282C6-C711-4C25-823D-FC8291948C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Sueldos 1064822
</t>
      </text>
    </comment>
    <comment ref="I9" authorId="2" shapeId="0" xr:uid="{77695D2F-76D3-4AD5-8606-4860E193BC4B}">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LUNES
- LORSANI: $296,504.47
- Vale sin tacc $55,500
- Coca $32900</t>
      </text>
    </comment>
    <comment ref="I11" authorId="3" shapeId="0" xr:uid="{3A178DA6-0371-4F78-ABAE-7EDD2AA77191}">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MARTES 
- OHMYCOOKIE $85.800
- ⁠Coca Cola $32.940(pagado)
- ⁠Fecula $146.618,76 (pagado)</t>
      </text>
    </comment>
    <comment ref="I13" authorId="4" shapeId="0" xr:uid="{6AB779E9-B8E1-410A-B997-6A4068DA1FA0}">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MIÉRCOLES 
- LORSANI $189,382.91
- ⁠Cangiano $79.700,94
- ⁠Adelanto Pato $20.000
- Vale st $27.500
- La Pana $29.600
- Ailin $70800</t>
      </text>
    </comment>
    <comment ref="I15" authorId="5" shapeId="0" xr:uid="{00C44A35-BE8C-4E13-84C1-744E0C8558A5}">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JUEVES
- Descartables $15.960</t>
      </text>
    </comment>
    <comment ref="I17" authorId="6" shapeId="0" xr:uid="{97034A98-346D-414C-855B-CB862C5EB337}">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 LORSANI $124,971.33
- ADELANTO SOFIA $50.000
- ALQUILER $630.000</t>
      </text>
    </comment>
    <comment ref="I19" authorId="7" shapeId="0" xr:uid="{CB621765-16EA-4F5F-B348-FE71DCA2A013}">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SABADO:
- Adelanto Pauli $50.000
- Pago seguro de área protegida $41.000</t>
      </text>
    </comment>
    <comment ref="I21" authorId="8" shapeId="0" xr:uid="{C300C72E-1269-4B8B-9CB5-0DD06108691E}">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LUNES
- LORSANI: $292,279.06
- ⁠Cangiano $73,566.33
- Adelanto Mati $15.000</t>
      </text>
    </comment>
    <comment ref="I23" authorId="9" shapeId="0" xr:uid="{C022C0EA-3EFD-4F22-A40F-E3F65580A6BC}">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MARTES
- Vale st $71.000
- Comandas $12.000 
- Angeleri $147.000
- Cookies Gio $194.600
- Sandwiches $20.900
- La Pana $37.400</t>
      </text>
    </comment>
    <comment ref="I25" authorId="10" shapeId="0" xr:uid="{A80963F5-B965-4807-8EAA-2B3860D3D8FA}">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MIÉRCOLES:
- Vero $30.000
- Lorsani $234.578.84</t>
      </text>
    </comment>
    <comment ref="I27" authorId="11" shapeId="0" xr:uid="{1426A5F8-BC78-4773-94B7-DACABEDBDE2A}">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JUEVES:
- Cookies sin tacc $70.800
- ⁠Descartable $50.290
- CANGIANO $74.873,83</t>
      </text>
    </comment>
    <comment ref="I29" authorId="12" shapeId="0" xr:uid="{22CF2338-0080-41DB-BF08-83B774E289E0}">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VIERNES:
- valeria $54.000
- Lorsani: $327,395.49
- Adelanto Sofia $10.000
- Adelanto Mati $20.000</t>
      </text>
    </comment>
    <comment ref="I31" authorId="13" shapeId="0" xr:uid="{74C926B5-A44A-4F26-838A-86ECA960BA3B}">
      <text>
        <t>[Comentario encadenado]
Su versión de Excel le permite leer este comentario encadenado; sin embargo, las ediciones que se apliquen se quitarán si el archivo se abre en una versión más reciente de Excel. Más información: https://go.microsoft.com/fwlink/?linkid=870924
Comentario:
    Sueldos $1.202.781</t>
      </text>
    </comment>
    <comment ref="I33" authorId="14" shapeId="0" xr:uid="{393982E6-D87E-4B32-9159-2339EF1A09F5}">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LUNES
- CANGIANO $72,534.9
- LORSANI $157.059,08</t>
      </text>
    </comment>
    <comment ref="I35" authorId="15" shapeId="0" xr:uid="{C141DF82-CC81-4283-BA70-0BAF145EBB9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MARTES
Coca $123.480
Sandwich $19.200
Valeria sin tacc $63.500</t>
      </text>
    </comment>
    <comment ref="I37" authorId="16" shapeId="0" xr:uid="{7167536A-0DD1-4DE9-A4DD-C246E23A4D9F}">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MIÉRCOLES 
- CANGIANO $42.389,05
- LORSANI $168.049.97
- La Nueva Cab : $65.952
- Fecula: $146.600 ( ya está pago)</t>
      </text>
    </comment>
    <comment ref="I39" authorId="17" shapeId="0" xr:uid="{809BE086-DAB1-46A1-BAB1-7CD8F52DDC83}">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JUEVES 
- DESCARTABLES: $46,430
- LA PANA: $25,400</t>
      </text>
    </comment>
    <comment ref="I41" authorId="18" shapeId="0" xr:uid="{A2E1A140-5FD0-4DC9-BE5E-5D65BD4DA42E}">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 COCA: $30500
- Gio: $212.100
- ⁠Lorzani: $92.443,56
- Adelanto Lautaro $100.000
- Vale: $69.500</t>
      </text>
    </comment>
    <comment ref="I43" authorId="19" shapeId="0" xr:uid="{B508AF1F-144E-449A-BE55-96C3A5F5D5F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SABADO:
- Adelanto Sofia $50.000
- Adelanto Matias $30.000
- Adelanto Patito $15.000</t>
      </text>
    </comment>
    <comment ref="I45" authorId="20" shapeId="0" xr:uid="{7ACFF64F-B0BD-41AA-90F2-247BD1C80170}">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LUNES:
- Adelanto Paula $46.000
- Cangiano $71.746.31
- LORSANI: $239.141.75
- Adelanto Sofia $10.000</t>
      </text>
    </comment>
    <comment ref="I47" authorId="21" shapeId="0" xr:uid="{4A514D76-C13C-4F49-8270-B603CA2CD683}">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MARTES:
* Sandwich $28.000</t>
      </text>
    </comment>
    <comment ref="I49" authorId="22" shapeId="0" xr:uid="{1527A274-5910-4F3D-B361-19B170A469A9}">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MIÉRCOLES 
- LORSANI: $156,998.76
- GRAFICA: $13650</t>
      </text>
    </comment>
    <comment ref="I51" authorId="23" shapeId="0" xr:uid="{E99D28FE-3913-48D7-92A8-8A1B2D07F45E}">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JUEVES 
- Descartables: $47.530
- valeria: $85.000</t>
      </text>
    </comment>
    <comment ref="I53" authorId="24" shapeId="0" xr:uid="{4AE747EC-56BA-4735-819B-FF59BA9E00D9}">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VIERNES
- LORSANI: $230.620
- Cangiano: $65,611.71</t>
      </text>
    </comment>
    <comment ref="I55" authorId="25" shapeId="0" xr:uid="{FC747BC9-823D-4A29-8546-0C251786FEE3}">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SÁBADO 
* Valeria sin tacc: $32.500
* Sueldos $766.710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tc={A912510C-3BB7-485E-9FED-01826E088AC1}</author>
    <author>tc={C405C6D6-EB34-44C1-9E05-C1E7DD4A4D35}</author>
    <author>tc={05B5B992-D9FD-47F9-A7BB-32F90CB1D7D1}</author>
    <author>tc={CEA87711-3FB4-4007-99AB-BDF03A704F98}</author>
    <author>tc={A61B5922-0437-44B0-A158-3F8DC37737D9}</author>
    <author>tc={4FD4FC63-2127-4C90-A60E-32671AF69E28}</author>
    <author>tc={36D44A50-9636-4859-94BF-9472A01A3398}</author>
    <author>tc={B2C77011-210A-4290-97C8-F04842241DA4}</author>
    <author>tc={7665A65F-2A46-4C7C-9714-E90104AAAE05}</author>
    <author>tc={08EFD76C-42DA-499F-A517-E8EC1C65CA1E}</author>
    <author>tc={C2CE55CF-1C06-4D67-AFFE-B32E8AA6EF5F}</author>
  </authors>
  <commentList>
    <comment ref="I3" authorId="0" shapeId="0" xr:uid="{A912510C-3BB7-485E-9FED-01826E088AC1}">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LUNES
* Lorsani : $233.452,46</t>
      </text>
    </comment>
    <comment ref="I5" authorId="1" shapeId="0" xr:uid="{C405C6D6-EB34-44C1-9E05-C1E7DD4A4D35}">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MARTES 
Lorsani : $88.413,83
Sandwichs: $21.000
Oh my cookie: $212.700
Cangiano: $88.181,02
Ailin: $35.400
Vale st $88.800
Sueldo Xime $100.000</t>
      </text>
    </comment>
    <comment ref="I7" authorId="2" shapeId="0" xr:uid="{05B5B992-D9FD-47F9-A7BB-32F90CB1D7D1}">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Miercoles
Lorsani : $245.164,54
Sueldo Xime $500.000</t>
      </text>
    </comment>
    <comment ref="I9" authorId="3" shapeId="0" xr:uid="{CEA87711-3FB4-4007-99AB-BDF03A704F9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JUEVES
Lorsani : $79.078,42
Cangiano: $40.269,56
Descartables: $57.080
Moldes cortantes $26.200
Angeleri: $146.619</t>
      </text>
    </comment>
    <comment ref="I11" authorId="4" shapeId="0" xr:uid="{A61B5922-0437-44B0-A158-3F8DC37737D9}">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VIERNES
Lorsani : $353.496,71
Cangiano: $54.250,27 (Pagar $6338.81)
Sueldo Xime: $150.000</t>
      </text>
    </comment>
    <comment ref="I13" authorId="5" shapeId="0" xr:uid="{4FD4FC63-2127-4C90-A60E-32671AF69E2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SABADO:
Adelanto Paula $30.000
Andrea $32.000
Ana $8.000
Adelanto Lautaro $80.000
Adelanto Matias $30.000
La Pana $37.400
Sueldo Xime $154.000</t>
      </text>
    </comment>
    <comment ref="I15" authorId="6" shapeId="0" xr:uid="{36D44A50-9636-4859-94BF-9472A01A339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LUNES
Lorsani : $158,343.14
Cangiano: $40,269.56
Adelanto Paula $82.000
Adelanto Sofia $10.000</t>
      </text>
    </comment>
    <comment ref="I17" authorId="7" shapeId="0" xr:uid="{B2C77011-210A-4290-97C8-F04842241DA4}">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MARTES
Cangiano: $22,757.28
Sandwich: $28.000
Alquiler $710.000</t>
      </text>
    </comment>
    <comment ref="I19" authorId="8" shapeId="0" xr:uid="{7665A65F-2A46-4C7C-9714-E90104AAAE05}">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MIERCOLES:
Lorsani: $231.404,53
Margarina: $35.055
Cangiano: $67.118,36
Cables: $5.100
Adelanto Lautaro $30.000
Adelanto Paula $4.000
Sueldo Xime $155.000</t>
      </text>
    </comment>
    <comment ref="I21" authorId="9" shapeId="0" xr:uid="{08EFD76C-42DA-499F-A517-E8EC1C65CA1E}">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JUEVES: 
Lorsani: $45.843,46
Descartable $59,150
Kiosco $6500
Angeleri $147.000
Adelanto Mati $20.000
Mantenimiento amasadora y ralladora $20.000
Sueldo Xime $30.000
Adelanto Pato $147.000</t>
      </text>
    </comment>
    <comment ref="I23" authorId="10" shapeId="0" xr:uid="{C2CE55CF-1C06-4D67-AFFE-B32E8AA6EF5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Valeria sin tacc $61.000
Coca $72.260
Lorsani $264.170
Cangiano $40.269
Gio $188.200
Sueldo Xime $70.000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Bernardo Nahuel Contreras</author>
    <author>tc={7E863964-4A0D-4828-AE6E-6891419CAC37}</author>
    <author>tc={C8BF295D-335C-4C7E-B1B8-81CEE3689A0F}</author>
  </authors>
  <commentList>
    <comment ref="H3" authorId="0" shapeId="0" xr:uid="{00000000-0006-0000-0100-000001000000}">
      <text>
        <r>
          <rPr>
            <b/>
            <sz val="9"/>
            <color indexed="81"/>
            <rFont val="Tahoma"/>
            <family val="2"/>
          </rPr>
          <t>Bernardo Nahuel Contreras:</t>
        </r>
        <r>
          <rPr>
            <sz val="9"/>
            <color indexed="81"/>
            <rFont val="Tahoma"/>
            <family val="2"/>
          </rPr>
          <t xml:space="preserve">
sueldos 688525</t>
        </r>
      </text>
    </comment>
    <comment ref="H5" authorId="0" shapeId="0" xr:uid="{00000000-0006-0000-0100-000002000000}">
      <text>
        <r>
          <rPr>
            <b/>
            <sz val="9"/>
            <color indexed="81"/>
            <rFont val="Tahoma"/>
            <family val="2"/>
          </rPr>
          <t>Bernardo Nahuel Contreras:</t>
        </r>
        <r>
          <rPr>
            <sz val="9"/>
            <color indexed="81"/>
            <rFont val="Tahoma"/>
            <family val="2"/>
          </rPr>
          <t xml:space="preserve">
cookies 46200
Sandwiches 12100
Lorsani 171414
Balanza cargador 14000</t>
        </r>
      </text>
    </comment>
    <comment ref="H7" authorId="0" shapeId="0" xr:uid="{00000000-0006-0000-0100-000003000000}">
      <text>
        <r>
          <rPr>
            <b/>
            <sz val="9"/>
            <color indexed="81"/>
            <rFont val="Tahoma"/>
            <family val="2"/>
          </rPr>
          <t>Bernardo Nahuel Contreras:</t>
        </r>
        <r>
          <rPr>
            <sz val="9"/>
            <color indexed="81"/>
            <rFont val="Tahoma"/>
            <family val="2"/>
          </rPr>
          <t xml:space="preserve">
Lorsani 57861
Tu postre 9000
Valeria 27000
Valentino 9000
Cagniano 28623
Lorsani 97955
</t>
        </r>
      </text>
    </comment>
    <comment ref="H9" authorId="0" shapeId="0" xr:uid="{00000000-0006-0000-0100-000004000000}">
      <text>
        <r>
          <rPr>
            <b/>
            <sz val="9"/>
            <color indexed="81"/>
            <rFont val="Tahoma"/>
            <family val="2"/>
          </rPr>
          <t>Bernardo Nahuel Contreras:</t>
        </r>
        <r>
          <rPr>
            <sz val="9"/>
            <color indexed="81"/>
            <rFont val="Tahoma"/>
            <family val="2"/>
          </rPr>
          <t xml:space="preserve">
ailin 26400
Nicalas 13000
Sandwich 12700
Descartables 48770
Cangiano 18798
Giavana 102300
Vale 51885
La Pana 7000
Lorsani 41568
Adelanto Paula 50000
Lorsani 74660
Cangiano 24503
Grafica 10000</t>
        </r>
      </text>
    </comment>
    <comment ref="H11" authorId="0" shapeId="0" xr:uid="{00000000-0006-0000-0100-000005000000}">
      <text>
        <r>
          <rPr>
            <b/>
            <sz val="9"/>
            <color indexed="81"/>
            <rFont val="Tahoma"/>
            <family val="2"/>
          </rPr>
          <t>Bernardo Nahuel Contreras:</t>
        </r>
        <r>
          <rPr>
            <sz val="9"/>
            <color indexed="81"/>
            <rFont val="Tahoma"/>
            <family val="2"/>
          </rPr>
          <t xml:space="preserve">
Fecula 123000
Lorsani 117136+88757
coca cola 90000
Tu postre 9000
Carrot 16800
Cangiano 29403
Sandwich 7500
Ensaladas 15000
Sin tacc 18900
Electricidad 32500</t>
        </r>
      </text>
    </comment>
    <comment ref="H13" authorId="0" shapeId="0" xr:uid="{00000000-0006-0000-0100-000006000000}">
      <text>
        <r>
          <rPr>
            <b/>
            <sz val="9"/>
            <color indexed="81"/>
            <rFont val="Tahoma"/>
            <family val="2"/>
          </rPr>
          <t>Bernardo Nahuel Contreras:</t>
        </r>
        <r>
          <rPr>
            <sz val="9"/>
            <color indexed="81"/>
            <rFont val="Tahoma"/>
            <family val="2"/>
          </rPr>
          <t xml:space="preserve">
sandwich 15850
Lorsani 
Sin tacc 35100
</t>
        </r>
      </text>
    </comment>
    <comment ref="H15" authorId="0" shapeId="0" xr:uid="{00000000-0006-0000-0100-000007000000}">
      <text>
        <r>
          <rPr>
            <b/>
            <sz val="9"/>
            <color indexed="81"/>
            <rFont val="Tahoma"/>
            <family val="2"/>
          </rPr>
          <t>Bernardo Nahuel Contreras:</t>
        </r>
        <r>
          <rPr>
            <sz val="9"/>
            <color indexed="81"/>
            <rFont val="Tahoma"/>
            <family val="2"/>
          </rPr>
          <t xml:space="preserve">
Adelanto Paula 40000</t>
        </r>
      </text>
    </comment>
    <comment ref="H17" authorId="0" shapeId="0" xr:uid="{00000000-0006-0000-0100-000008000000}">
      <text>
        <r>
          <rPr>
            <b/>
            <sz val="9"/>
            <color indexed="81"/>
            <rFont val="Tahoma"/>
            <family val="2"/>
          </rPr>
          <t>Bernardo Nahuel Contreras:</t>
        </r>
        <r>
          <rPr>
            <sz val="9"/>
            <color indexed="81"/>
            <rFont val="Tahoma"/>
            <family val="2"/>
          </rPr>
          <t xml:space="preserve">
Cangiano 50944
Ensaladas 12000
Sandwich 16850
San Luis a mil 32000
Cookies 119100
Tu postre 9000
Lorsani 109988
</t>
        </r>
      </text>
    </comment>
    <comment ref="H19" authorId="0" shapeId="0" xr:uid="{00000000-0006-0000-0100-000009000000}">
      <text>
        <r>
          <rPr>
            <b/>
            <sz val="9"/>
            <color indexed="81"/>
            <rFont val="Tahoma"/>
            <family val="2"/>
          </rPr>
          <t>Bernardo Nahuel Contreras:</t>
        </r>
        <r>
          <rPr>
            <sz val="9"/>
            <color indexed="81"/>
            <rFont val="Tahoma"/>
            <family val="2"/>
          </rPr>
          <t xml:space="preserve">
Ensaladas 12000
Sandwich 17700
Lorsani 108800
Cangiano 
La pana 7000
Sin gluten 58500
adelanto Paula 40000
Descartables 34050
Sin gluten 19800
Margarina 20000
</t>
        </r>
      </text>
    </comment>
    <comment ref="H21" authorId="0" shapeId="0" xr:uid="{00000000-0006-0000-0100-00000A000000}">
      <text>
        <r>
          <rPr>
            <b/>
            <sz val="9"/>
            <color indexed="81"/>
            <rFont val="Tahoma"/>
            <family val="2"/>
          </rPr>
          <t>Bernardo Nahuel Contreras:</t>
        </r>
        <r>
          <rPr>
            <sz val="9"/>
            <color indexed="81"/>
            <rFont val="Tahoma"/>
            <family val="2"/>
          </rPr>
          <t xml:space="preserve">
Grafica 16000
Papeleria 7500
Descartable 45000
Féciula 122035
Cangiano 50943
Lorsani 191157
Ailin 26400
Sin gluten 16200
Coca cola 81350
Saldo alquiler 80000
Aire acondicionado 40000
</t>
        </r>
      </text>
    </comment>
    <comment ref="H23" authorId="0" shapeId="0" xr:uid="{00000000-0006-0000-0100-00000B000000}">
      <text>
        <r>
          <rPr>
            <b/>
            <sz val="9"/>
            <color indexed="81"/>
            <rFont val="Tahoma"/>
            <family val="2"/>
          </rPr>
          <t>Bernardo Nahuel Contreras:</t>
        </r>
        <r>
          <rPr>
            <sz val="9"/>
            <color indexed="81"/>
            <rFont val="Tahoma"/>
            <family val="2"/>
          </rPr>
          <t xml:space="preserve">
Lorsani 148349
Adelanto Pato 30000
Sandwich 15000
Margarina 22394
Adelanto Lauti 20000</t>
        </r>
      </text>
    </comment>
    <comment ref="H25" authorId="0" shapeId="0" xr:uid="{00000000-0006-0000-0100-00000C000000}">
      <text>
        <r>
          <rPr>
            <b/>
            <sz val="9"/>
            <color indexed="81"/>
            <rFont val="Tahoma"/>
            <family val="2"/>
          </rPr>
          <t>Bernardo Nahuel Contreras:</t>
        </r>
        <r>
          <rPr>
            <sz val="9"/>
            <color indexed="81"/>
            <rFont val="Tahoma"/>
            <family val="2"/>
          </rPr>
          <t xml:space="preserve">
Lorsani 321129
Adelanto Paula 15000
Sandwich 10600
Ensaladas 12000
Cangiano 41370
Sin gluten 53100
Descartables 44350
Margarina 17432
</t>
        </r>
      </text>
    </comment>
    <comment ref="H27" authorId="0" shapeId="0" xr:uid="{00000000-0006-0000-0100-00000D000000}">
      <text>
        <r>
          <rPr>
            <b/>
            <sz val="9"/>
            <color indexed="81"/>
            <rFont val="Tahoma"/>
            <family val="2"/>
          </rPr>
          <t>Bernardo Nahuel Contreras:</t>
        </r>
        <r>
          <rPr>
            <sz val="9"/>
            <color indexed="81"/>
            <rFont val="Tahoma"/>
            <family val="2"/>
          </rPr>
          <t xml:space="preserve">
Sin gluten 43200
Sandiwch 13200
Sueldos 670585
</t>
        </r>
      </text>
    </comment>
    <comment ref="H29" authorId="0" shapeId="0" xr:uid="{00000000-0006-0000-0100-00000E000000}">
      <text>
        <r>
          <rPr>
            <b/>
            <sz val="9"/>
            <color indexed="81"/>
            <rFont val="Tahoma"/>
            <family val="2"/>
          </rPr>
          <t>Bernardo Nahuel Contreras:</t>
        </r>
        <r>
          <rPr>
            <sz val="9"/>
            <color indexed="81"/>
            <rFont val="Tahoma"/>
            <family val="2"/>
          </rPr>
          <t xml:space="preserve">
Lorsani 173175
Cookies 91800
Sandwich 19100
Ensaladas 12000
Tu postre 9000
Vero 80000
</t>
        </r>
      </text>
    </comment>
    <comment ref="H31" authorId="0" shapeId="0" xr:uid="{00000000-0006-0000-0100-00000F000000}">
      <text>
        <r>
          <rPr>
            <b/>
            <sz val="9"/>
            <color indexed="81"/>
            <rFont val="Tahoma"/>
            <family val="2"/>
          </rPr>
          <t>Bernardo Nahuel Contreras:</t>
        </r>
        <r>
          <rPr>
            <sz val="9"/>
            <color indexed="81"/>
            <rFont val="Tahoma"/>
            <family val="2"/>
          </rPr>
          <t xml:space="preserve">
Sandwich 17750
Budin 16800
Cangiano 115560
Sin gluten 66600
Fecula 48000
Lorsani 177537
</t>
        </r>
      </text>
    </comment>
    <comment ref="H33" authorId="0" shapeId="0" xr:uid="{00000000-0006-0000-0100-000010000000}">
      <text>
        <r>
          <rPr>
            <b/>
            <sz val="9"/>
            <color indexed="81"/>
            <rFont val="Tahoma"/>
            <family val="2"/>
          </rPr>
          <t>Bernardo Nahuel Contreras:</t>
        </r>
        <r>
          <rPr>
            <sz val="9"/>
            <color indexed="81"/>
            <rFont val="Tahoma"/>
            <family val="2"/>
          </rPr>
          <t xml:space="preserve">
Sandwich 13200
Cookies 109100
Ensaldas 9000
Cookies 26400
Lorsani 270326
Angeleri 123000</t>
        </r>
      </text>
    </comment>
    <comment ref="H35" authorId="0" shapeId="0" xr:uid="{00000000-0006-0000-0100-000011000000}">
      <text>
        <r>
          <rPr>
            <b/>
            <sz val="9"/>
            <color indexed="81"/>
            <rFont val="Tahoma"/>
            <family val="2"/>
          </rPr>
          <t>Bernardo Nahuel Contreras:</t>
        </r>
        <r>
          <rPr>
            <sz val="9"/>
            <color indexed="81"/>
            <rFont val="Tahoma"/>
            <family val="2"/>
          </rPr>
          <t xml:space="preserve">
Cangiano 43656
Sin tacc 31500
Sandwich 19100
Adelanto Pato 30000
Lorsani 277177</t>
        </r>
      </text>
    </comment>
    <comment ref="H37" authorId="0" shapeId="0" xr:uid="{00000000-0006-0000-0100-000012000000}">
      <text>
        <r>
          <rPr>
            <b/>
            <sz val="9"/>
            <color indexed="81"/>
            <rFont val="Tahoma"/>
            <family val="2"/>
          </rPr>
          <t>Bernardo Nahuel Contreras:</t>
        </r>
        <r>
          <rPr>
            <sz val="9"/>
            <color indexed="81"/>
            <rFont val="Tahoma"/>
            <family val="2"/>
          </rPr>
          <t xml:space="preserve">
Cangiano 53448
Sin gluten 78800
Coca cola 86870
Budin 33600
Descartable 36860
Lorsani 167973
Ensaldas 9000
Adelanto Paula 40000
</t>
        </r>
      </text>
    </comment>
    <comment ref="H39" authorId="0" shapeId="0" xr:uid="{00000000-0006-0000-0100-000013000000}">
      <text>
        <r>
          <rPr>
            <b/>
            <sz val="9"/>
            <color indexed="81"/>
            <rFont val="Tahoma"/>
            <family val="2"/>
          </rPr>
          <t>Bernardo Nahuel Contreras:</t>
        </r>
        <r>
          <rPr>
            <sz val="9"/>
            <color indexed="81"/>
            <rFont val="Tahoma"/>
            <family val="2"/>
          </rPr>
          <t xml:space="preserve">
Sandwiches 11000
Sin tacc 19800
Cangiano 22890
</t>
        </r>
      </text>
    </comment>
    <comment ref="H41" authorId="0" shapeId="0" xr:uid="{00000000-0006-0000-0100-000014000000}">
      <text>
        <r>
          <rPr>
            <b/>
            <sz val="9"/>
            <color indexed="81"/>
            <rFont val="Tahoma"/>
            <family val="2"/>
          </rPr>
          <t>Bernardo Nahuel Contreras:</t>
        </r>
        <r>
          <rPr>
            <sz val="9"/>
            <color indexed="81"/>
            <rFont val="Tahoma"/>
            <family val="2"/>
          </rPr>
          <t xml:space="preserve">
Ensaldas 12000
Lorsani 251795
Cangiano 68440
Angeleri 119000</t>
        </r>
      </text>
    </comment>
    <comment ref="H43" authorId="0" shapeId="0" xr:uid="{00000000-0006-0000-0100-000015000000}">
      <text>
        <r>
          <rPr>
            <b/>
            <sz val="9"/>
            <color indexed="81"/>
            <rFont val="Tahoma"/>
            <family val="2"/>
          </rPr>
          <t>Bernardo Nahuel Contreras:</t>
        </r>
        <r>
          <rPr>
            <sz val="9"/>
            <color indexed="81"/>
            <rFont val="Tahoma"/>
            <family val="2"/>
          </rPr>
          <t xml:space="preserve">
cookies 108600
cookies sin tacc 26400
Sandwich 17400
sin tacc 44800
Descartables 9600
Lorsani 226534
Adelanto Emi 15000</t>
        </r>
      </text>
    </comment>
    <comment ref="H45" authorId="0" shapeId="0" xr:uid="{00000000-0006-0000-0100-000016000000}">
      <text>
        <r>
          <rPr>
            <b/>
            <sz val="9"/>
            <color indexed="81"/>
            <rFont val="Tahoma"/>
            <family val="2"/>
          </rPr>
          <t>Bernardo Nahuel Contreras:</t>
        </r>
        <r>
          <rPr>
            <sz val="9"/>
            <color indexed="81"/>
            <rFont val="Tahoma"/>
            <family val="2"/>
          </rPr>
          <t xml:space="preserve">
sandwich 17400
Angeleri 127000
Cangiano 53448
La pana 7000
Sin tacc 49050
Lorsani 286871
Tu postre 9000
La panta 7000
</t>
        </r>
      </text>
    </comment>
    <comment ref="H47" authorId="1" shapeId="0" xr:uid="{7E863964-4A0D-4828-AE6E-6891419CAC3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Sandwiches 13300
Cookies 144600
Lorsani 62211
Sin tacc 32000
Coca Cola 102600
Sueldo pato 145000
</t>
      </text>
    </comment>
    <comment ref="H49" authorId="2" shapeId="0" xr:uid="{C8BF295D-335C-4C7E-B1B8-81CEE3689A0F}">
      <text>
        <t>[Comentario encadenado]
Su versión de Excel le permite leer este comentario encadenado; sin embargo, las ediciones que se apliquen se quitarán si el archivo se abre en una versión más reciente de Excel. Más información: https://go.microsoft.com/fwlink/?linkid=870924
Comentario:
    Sandwiches 12300
Sin tacc 31500
Tu postre 9000
La Pana 15000
Cangiano 67144
Descartables 68450
Lorsani 420213
Adelanto Paula 15000
Grafica 7600
Margarina 19000
Utensillos 47000</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tc={5B1195D0-A0D7-4DC4-BC12-BFF783803A40}</author>
    <author>tc={630E1C37-3AEF-405B-9193-F1FB71F07059}</author>
    <author>tc={B2D852CA-E1C0-4B48-930A-549AC7FD4B69}</author>
    <author>tc={01457A74-9496-4D0A-827E-B9AD7040ED27}</author>
    <author>tc={3B572DD0-BE5F-4E5D-974C-A662D2E38B71}</author>
    <author>tc={4281C2B5-0B6F-43F3-AB2E-846D69ABE9C8}</author>
    <author>tc={F6FA6198-2FE5-4689-9C03-F9551BF74B20}</author>
    <author>tc={BC51E381-D07A-4278-B8D8-53B6B5CBE157}</author>
    <author>tc={C619C1CC-E931-42D3-8C6C-1EBC69EBBD53}</author>
    <author>tc={6B5A0DD5-6914-431B-A30D-C3FAB01C902D}</author>
    <author>tc={115CA3F7-B6BB-474D-B430-C6916189F276}</author>
    <author>tc={06DBEAB6-A024-43EF-B3A3-058791ECF11A}</author>
    <author>tc={686BECD8-E088-4601-BE9A-197DDD7E9A41}</author>
    <author>tc={190C9DB5-227A-4BE2-8CA4-5A7E420B902F}</author>
    <author>tc={C1831D63-56DF-441D-93C7-45453830BBDB}</author>
    <author>tc={DF5FC587-13EB-4A18-AF13-04F03CC92D74}</author>
    <author>tc={ED4BF945-0EE7-4031-94E9-FE1FB68D5AD8}</author>
    <author>tc={B5BD5A1C-C48B-4EDF-9A83-DFD14EEC70D4}</author>
    <author>tc={32CA689A-CF87-4432-953A-B4759D566EEA}</author>
    <author>tc={E64D4083-5517-4D81-8157-BF5D7E6FBAD8}</author>
    <author>tc={87BAEC6F-6EF8-449A-A852-97E845B79EB0}</author>
    <author>tc={3C7BBF96-60E3-48FA-8902-C5A70F3A0436}</author>
    <author>tc={38157D91-7FCF-4A07-B5E0-BC034A3455E7}</author>
  </authors>
  <commentList>
    <comment ref="H3" authorId="0" shapeId="0" xr:uid="{5B1195D0-A0D7-4DC4-BC12-BFF783803A40}">
      <text>
        <t>[Comentario encadenado]
Su versión de Excel le permite leer este comentario encadenado; sin embargo, las ediciones que se apliquen se quitarán si el archivo se abre en una versión más reciente de Excel. Más información: https://go.microsoft.com/fwlink/?linkid=870924
Comentario:
    Sandwiches 11850
Sin tacc 46350
Sueldos 617505</t>
      </text>
    </comment>
    <comment ref="H5" authorId="1" shapeId="0" xr:uid="{630E1C37-3AEF-405B-9193-F1FB71F07059}">
      <text>
        <t>[Comentario encadenado]
Su versión de Excel le permite leer este comentario encadenado; sin embargo, las ediciones que se apliquen se quitarán si el archivo se abre en una versión más reciente de Excel. Más información: https://go.microsoft.com/fwlink/?linkid=870924
Comentario:
    Sin tacc 45600
Sandwiches 15150
Margarina 17414
Cangiano 50081
Cookies sin tacc 26400
Adelanto Paula 13000
Oh my cookies 117000
Lorsani 262498
Tu postre 18000</t>
      </text>
    </comment>
    <comment ref="H7" authorId="2" shapeId="0" xr:uid="{B2D852CA-E1C0-4B48-930A-549AC7FD4B6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Sin tacc 47500
Sandwiches 11600
Cangiano 53448
Descartables 29610
Vale 11400
Lorsani 238819
</t>
      </text>
    </comment>
    <comment ref="H9" authorId="3" shapeId="0" xr:uid="{01457A74-9496-4D0A-827E-B9AD7040ED27}">
      <text>
        <t>[Comentario encadenado]
Su versión de Excel le permite leer este comentario encadenado; sin embargo, las ediciones que se apliquen se quitarán si el archivo se abre en una versión más reciente de Excel. Más información: https://go.microsoft.com/fwlink/?linkid=870924
Comentario:
    Sandwiches 12300
Coca cola 78800
Adelanto Paula 30000
Lorsani 35150</t>
      </text>
    </comment>
    <comment ref="H11" authorId="4" shapeId="0" xr:uid="{3B572DD0-BE5F-4E5D-974C-A662D2E38B71}">
      <text>
        <t>[Comentario encadenado]
Su versión de Excel le permite leer este comentario encadenado; sin embargo, las ediciones que se apliquen se quitarán si el archivo se abre en una versión más reciente de Excel. Más información: https://go.microsoft.com/fwlink/?linkid=870924
Comentario:
    Angeleri 127000
Valeria 46000
Lucas 60000
Adelanto Lautaro 20000</t>
      </text>
    </comment>
    <comment ref="H13" authorId="5" shapeId="0" xr:uid="{4281C2B5-0B6F-43F3-AB2E-846D69ABE9C8}">
      <text>
        <t>[Comentario encadenado]
Su versión de Excel le permite leer este comentario encadenado; sin embargo, las ediciones que se apliquen se quitarán si el archivo se abre en una versión más reciente de Excel. Más información: https://go.microsoft.com/fwlink/?linkid=870924
Comentario:
    Bancos 36000
Lorsani 224017
Sandwiches 13300
Vale 26600
Angeleri 126190
Cookies 90300
Cangiano 80160
Adelanto Emi 120000
Impresiones 1000
Alquiler 53000
Correa amasadora 4600
Cookies sin tacc 26400</t>
      </text>
    </comment>
    <comment ref="H15" authorId="6" shapeId="0" xr:uid="{F6FA6198-2FE5-4689-9C03-F9551BF74B20}">
      <text>
        <t>[Comentario encadenado]
Su versión de Excel le permite leer este comentario encadenado; sin embargo, las ediciones que se apliquen se quitarán si el archivo se abre en una versión más reciente de Excel. Más información: https://go.microsoft.com/fwlink/?linkid=870924
Comentario:
    Lorsani 257038
Sandwiches 19100
Matafuegos 13900
Gluten free 22200
Tu postre 18000
Quesos 24013
La pana 8000
Grafica 400
Sellos y comandas 30000
Cangiano 20877</t>
      </text>
    </comment>
    <comment ref="H17" authorId="7" shapeId="0" xr:uid="{BC51E381-D07A-4278-B8D8-53B6B5CBE157}">
      <text>
        <t>[Comentario encadenado]
Su versión de Excel le permite leer este comentario encadenado; sin embargo, las ediciones que se apliquen se quitarán si el archivo se abre en una versión más reciente de Excel. Más información: https://go.microsoft.com/fwlink/?linkid=870924
Comentario:
    Descartables 43960
Lorsani 155547
San Luis a mil 16000
Adelanto lauti 10000
Adelanto Paula 32000
Adelanto Mati 50000
Gluten Free 43800
Plafones 30000</t>
      </text>
    </comment>
    <comment ref="H19" authorId="8" shapeId="0" xr:uid="{C619C1CC-E931-42D3-8C6C-1EBC69EBBD53}">
      <text>
        <t>[Comentario encadenado]
Su versión de Excel le permite leer este comentario encadenado; sin embargo, las ediciones que se apliquen se quitarán si el archivo se abre en una versión más reciente de Excel. Más información: https://go.microsoft.com/fwlink/?linkid=870924
Comentario:
    Seguro resp civil 15900
Cangiano 22215
Lorsani 306483+186178
Coca cola 51160
Lucas 38000
Vero 8000
Seguro la segunda 16000
Credito 149000
Credito caja social 28334
Ingresos brutos 48000
Gas 8532
Afip 161000
Antonio 25000</t>
      </text>
    </comment>
    <comment ref="H21" authorId="9" shapeId="0" xr:uid="{6B5A0DD5-6914-431B-A30D-C3FAB01C902D}">
      <text>
        <t>[Comentario encadenado]
Su versión de Excel le permite leer este comentario encadenado; sin embargo, las ediciones que se apliquen se quitarán si el archivo se abre en una versión más reciente de Excel. Más información: https://go.microsoft.com/fwlink/?linkid=870924
Comentario:
    Cookies 105000
Sin gluten 46050
Sandwiches 17400
La Pana 15000
Tu postre 9000
Cangiano 63379
Lorsani 192563</t>
      </text>
    </comment>
    <comment ref="H23" authorId="10" shapeId="0" xr:uid="{115CA3F7-B6BB-474D-B430-C6916189F276}">
      <text>
        <t>[Comentario encadenado]
Su versión de Excel le permite leer este comentario encadenado; sin embargo, las ediciones que se apliquen se quitarán si el archivo se abre en una versión más reciente de Excel. Más información: https://go.microsoft.com/fwlink/?linkid=870924
Comentario:
    Sueldos 379090
Sin gluten 36100</t>
      </text>
    </comment>
    <comment ref="H25" authorId="11" shapeId="0" xr:uid="{06DBEAB6-A024-43EF-B3A3-058791ECF11A}">
      <text>
        <t>[Comentario encadenado]
Su versión de Excel le permite leer este comentario encadenado; sin embargo, las ediciones que se apliquen se quitarán si el archivo se abre en una versión más reciente de Excel. Más información: https://go.microsoft.com/fwlink/?linkid=870924
Comentario:
    Vale 48450
Sandwiches 13300
Descartables 34210
Cangiano 65307
Lorsani 140353</t>
      </text>
    </comment>
    <comment ref="H27" authorId="12" shapeId="0" xr:uid="{686BECD8-E088-4601-BE9A-197DDD7E9A4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Cangiano 36557
Lorsani 207862
Angeleri 126188
Sin tacc 12350
Cookies sin tacc 26400
Fecula 12000
</t>
      </text>
    </comment>
    <comment ref="H29" authorId="13" shapeId="0" xr:uid="{190C9DB5-227A-4BE2-8CA4-5A7E420B902F}">
      <text>
        <t>[Comentario encadenado]
Su versión de Excel le permite leer este comentario encadenado; sin embargo, las ediciones que se apliquen se quitarán si el archivo se abre en una versión más reciente de Excel. Más información: https://go.microsoft.com/fwlink/?linkid=870924
Comentario:
    Lorsani 131708
Cookies 105000
Budin 18000
Budin la pana 8000
Lorsani 180570</t>
      </text>
    </comment>
    <comment ref="H31" authorId="14" shapeId="0" xr:uid="{C1831D63-56DF-441D-93C7-45453830BBDB}">
      <text>
        <t>[Comentario encadenado]
Su versión de Excel le permite leer este comentario encadenado; sin embargo, las ediciones que se apliquen se quitarán si el archivo se abre en una versión más reciente de Excel. Más información: https://go.microsoft.com/fwlink/?linkid=870924
Comentario:
    Cangiano 44965
Sin tacc 63650
Sandwiches 16000
Lorsani 164286
Budin la Pana 8000
Budin tu postre 8000</t>
      </text>
    </comment>
    <comment ref="H33" authorId="15" shapeId="0" xr:uid="{DF5FC587-13EB-4A18-AF13-04F03CC92D74}">
      <text>
        <t>[Comentario encadenado]
Su versión de Excel le permite leer este comentario encadenado; sin embargo, las ediciones que se apliquen se quitarán si el archivo se abre en una versión más reciente de Excel. Más información: https://go.microsoft.com/fwlink/?linkid=870924
Comentario:
    Adelanto lauti 40000
Jesus, Andrea y Valen 38000
Lorsani 295726+76066
Cangiano 12342
Angeleri 126200
Sin gluten 22800
Sandwiches 10650
Ailin 26400
Tu postre 9000
Salame 6000
Adelanto Paula 10000</t>
      </text>
    </comment>
    <comment ref="H35" authorId="16" shapeId="0" xr:uid="{ED4BF945-0EE7-4031-94E9-FE1FB68D5AD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Adelanto Paula 40000
Adelanto Emi 15000
Sandwiches 12000
Sin gluten 33250
</t>
      </text>
    </comment>
    <comment ref="H37" authorId="17" shapeId="0" xr:uid="{B5BD5A1C-C48B-4EDF-9A83-DFD14EEC70D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Sin gluten 63650
Sandwiches 14850
Descartables 72080
Cookies 105000
Cangiano 22215
Lorsani 163608+326687
Bastidor 60000
Adelanto Paula 10000
Budin ingles 10000
</t>
      </text>
    </comment>
    <comment ref="H39" authorId="18" shapeId="0" xr:uid="{32CA689A-CF87-4432-953A-B4759D566EEA}">
      <text>
        <t>[Comentario encadenado]
Su versión de Excel le permite leer este comentario encadenado; sin embargo, las ediciones que se apliquen se quitarán si el archivo se abre en una versión más reciente de Excel. Más información: https://go.microsoft.com/fwlink/?linkid=870924
Comentario:
    Cangiano 22215+33467
Sin gluten 58900
Sandwiches 5100
Fecula 126200
Tu postre 36000
Lorsani 233206
Churros 30000
Adelanto Mati 20000</t>
      </text>
    </comment>
    <comment ref="H41" authorId="19" shapeId="0" xr:uid="{E64D4083-5517-4D81-8157-BF5D7E6FBAD8}">
      <text>
        <t>[Comentario encadenado]
Su versión de Excel le permite leer este comentario encadenado; sin embargo, las ediciones que se apliquen se quitarán si el archivo se abre en una versión más reciente de Excel. Más información: https://go.microsoft.com/fwlink/?linkid=870924
Comentario:
    Sin gluten 22800
Lorsani 228008
Coca 83310
Cookies 117000
Cangiano 22218
Focos 25209
Desinfeccion 25000
Lorsani 324888</t>
      </text>
    </comment>
    <comment ref="H43" authorId="20" shapeId="0" xr:uid="{87BAEC6F-6EF8-449A-A852-97E845B79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Sin gluten 63650
Sandwiches 17400
Churros 12000
Jesus y Andrea 35000
Sueldo Emi 145725
Sueldo Lauti 116925
</t>
      </text>
    </comment>
    <comment ref="H45" authorId="21" shapeId="0" xr:uid="{3C7BBF96-60E3-48FA-8902-C5A70F3A0436}">
      <text>
        <t>[Comentario encadenado]
Su versión de Excel le permite leer este comentario encadenado; sin embargo, las ediciones que se apliquen se quitarán si el archivo se abre en una versión más reciente de Excel. Más información: https://go.microsoft.com/fwlink/?linkid=870924
Comentario:
    Vale 12350
Sueldo Mati 162360
Sueldo Alan 71750
Sueldo Paula 121360</t>
      </text>
    </comment>
    <comment ref="H47" authorId="22" shapeId="0" xr:uid="{38157D91-7FCF-4A07-B5E0-BC034A3455E7}">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Sandwiches 11600
Fecula 127000
Cangiano 40202
Lorsani 227964</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tc={A77EA7CB-4822-4463-8144-A02828761E59}</author>
    <author>tc={AD3FB40E-9FFC-47DF-9F1F-532C8B90D402}</author>
    <author>tc={86DED76C-A50E-493D-ABC4-C6757EFC3E6B}</author>
    <author>tc={82585CAE-BC8D-4C4C-9324-712C2BFED788}</author>
    <author>tc={13269C25-5CCC-4A6E-B827-DC08EA43B169}</author>
    <author>tc={D8449370-060B-4882-B339-C5D0DAC584E3}</author>
    <author>tc={67015958-17D1-4A3B-ABB1-791F3D93A36A}</author>
    <author>tc={EA67135A-C9D6-4CC4-B553-FE2B0BFF2D80}</author>
    <author>tc={02E9F95E-F8B0-4D7D-A39B-E41C6FFFA7F1}</author>
    <author>tc={658CE147-871F-440F-AF5C-4235A1B7D19D}</author>
    <author>tc={0DC750B3-B61B-4DD8-8BDE-2B01E5D2F6C7}</author>
    <author>tc={695A23AC-9B11-4EDC-BB1B-ED196EDC9FFD}</author>
    <author>tc={69EDABDD-C4F7-44E1-A2DE-5180AAB4B1A1}</author>
    <author>tc={C119BA7B-644F-4B2B-B5C6-FD13A396884E}</author>
    <author>tc={1778C1A2-0969-45AD-A269-5FF96A456592}</author>
    <author>tc={1E9D8EC1-E186-4105-9DC5-425B0582527E}</author>
    <author>tc={94CEDB14-BBC1-4B4F-8C63-6A9E9DF3C736}</author>
    <author>tc={D31A6F40-C62B-4537-83D8-4766A01809D5}</author>
    <author>tc={776C1887-B220-43DB-9DAC-27F65EEE8705}</author>
    <author>tc={C9C023E0-1D53-4B50-B694-73A630BFEED3}</author>
    <author>tc={5A00E132-C0DC-4B72-BFA5-68170192E70C}</author>
    <author>tc={E20730DF-7A9E-440C-9DFB-4275DE0F22E6}</author>
    <author>tc={B6CC99B9-0E92-420D-83C9-5565A468E007}</author>
    <author>tc={F5D8F7A9-C3E7-44F6-BBFE-648AAAD85E15}</author>
    <author>tc={19C26FF9-5D42-400E-B107-BCBB7360F07B}</author>
  </authors>
  <commentList>
    <comment ref="H3" authorId="0" shapeId="0" xr:uid="{A77EA7CB-4822-4463-8144-A02828761E5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Vale 45600
Sandwiches 13300
Churros 16000
Descartables 53810
Lorsani 365117
Cookies 117000
Cookies sin tacc 26400
Tu postre 36000
</t>
      </text>
    </comment>
    <comment ref="H5" authorId="1" shapeId="0" xr:uid="{AD3FB40E-9FFC-47DF-9F1F-532C8B90D402}">
      <text>
        <t>[Comentario encadenado]
Su versión de Excel le permite leer este comentario encadenado; sin embargo, las ediciones que se apliquen se quitarán si el archivo se abre en una versión más reciente de Excel. Más información: https://go.microsoft.com/fwlink/?linkid=870924
Comentario:
    Sin tacc 45600
Churros 8000
Cangiano 114352
Lorsani 306496</t>
      </text>
    </comment>
    <comment ref="H7" authorId="2" shapeId="0" xr:uid="{86DED76C-A50E-493D-ABC4-C6757EFC3E6B}">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Lorsani 182178
Sin tacc 33250
Valentino 16000
Ailin 26400
La pana 10000
Descartable 52870
Angeleri 126200
Jesus 28000
Lorsani 68000</t>
      </text>
    </comment>
    <comment ref="H9" authorId="3" shapeId="0" xr:uid="{82585CAE-BC8D-4C4C-9324-712C2BFED788}">
      <text>
        <t>[Comentario encadenado]
Su versión de Excel le permite leer este comentario encadenado; sin embargo, las ediciones que se apliquen se quitarán si el archivo se abre en una versión más reciente de Excel. Más información: https://go.microsoft.com/fwlink/?linkid=870924
Comentario:
    Cangiano 56375
Churros 8000
Sandwiches 17400
Cookies 117000
Lorsani 386833
Sin gluten 36250</t>
      </text>
    </comment>
    <comment ref="H11" authorId="4" shapeId="0" xr:uid="{13269C25-5CCC-4A6E-B827-DC08EA43B169}">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4000
Adelanto Paula 40000
Lucas herrero 8000
Budines 36000</t>
      </text>
    </comment>
    <comment ref="H13" authorId="5" shapeId="0" xr:uid="{D8449370-060B-4882-B339-C5D0DAC584E3}">
      <text>
        <t>[Comentario encadenado]
Su versión de Excel le permite leer este comentario encadenado; sin embargo, las ediciones que se apliquen se quitarán si el archivo se abre en una versión más reciente de Excel. Más información: https://go.microsoft.com/fwlink/?linkid=870924
Comentario:
    Sandwiches 17400
Angeleri 127000
Cangiano 56375
Sin gluten 33250
Churros 8000
Lorsani 233073</t>
      </text>
    </comment>
    <comment ref="H15" authorId="6" shapeId="0" xr:uid="{67015958-17D1-4A3B-ABB1-791F3D93A36A}">
      <text>
        <t>[Comentario encadenado]
Su versión de Excel le permite leer este comentario encadenado; sin embargo, las ediciones que se apliquen se quitarán si el archivo se abre en una versión más reciente de Excel. Más información: https://go.microsoft.com/fwlink/?linkid=870924
Comentario:
    Lorsani 341192
Churros 8000
Sin gluten 56050
Cookies sin tacc 26400
Cangiano 43306
Desinfeccion 75000
Delivery 25000
Adelanto Lauti 130000</t>
      </text>
    </comment>
    <comment ref="H17" authorId="7" shapeId="0" xr:uid="{EA67135A-C9D6-4CC4-B553-FE2B0BFF2D80}">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Sin gluten 33250
Cookies 115500
La pana 32000
Tu postre 27000
Cangiano 74425
Lorsani 71841
Margarina 16200
Sandwiches 12300
Margarina 15900
Adelanto Sofi 10000
Adelanto Paula 44000</t>
      </text>
    </comment>
    <comment ref="H19" authorId="8" shapeId="0" xr:uid="{02E9F95E-F8B0-4D7D-A39B-E41C6FFFA7F1}">
      <text>
        <t>[Comentario encadenado]
Su versión de Excel le permite leer este comentario encadenado; sin embargo, las ediciones que se apliquen se quitarán si el archivo se abre en una versión más reciente de Excel. Más información: https://go.microsoft.com/fwlink/?linkid=870924
Comentario:
    Sandwiches 17400
Churros 8000
Cookies sin tacc 26400
Sin gluten 33250
Adelanto Paula 44000
Adelanto Sofi 10000
Descartables 64800</t>
      </text>
    </comment>
    <comment ref="H21" authorId="9" shapeId="0" xr:uid="{658CE147-871F-440F-AF5C-4235A1B7D19D}">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Sin gluten 63650
Rosca de pascua 10500
Cangiano 58479
Lorsani 342837
Fécula 127000
Cortinas 35000
Andrea sueldo 42000</t>
      </text>
    </comment>
    <comment ref="H23" authorId="10" shapeId="0" xr:uid="{0DC750B3-B61B-4DD8-8BDE-2B01E5D2F6C7}">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4000
Sandwiches 13300
Sin tacc 33250
Sueldos 374805</t>
      </text>
    </comment>
    <comment ref="H25" authorId="11" shapeId="0" xr:uid="{695A23AC-9B11-4EDC-BB1B-ED196EDC9FFD}">
      <text>
        <t>[Comentario encadenado]
Su versión de Excel le permite leer este comentario encadenado; sin embargo, las ediciones que se apliquen se quitarán si el archivo se abre en una versión más reciente de Excel. Más información: https://go.microsoft.com/fwlink/?linkid=870924
Comentario:
    Sandwiches 17400
Churros 8000
Grafica 16000
Sin gluten 33250
Cookies 128700
Cangiano 56676
Lorsani 269666+203830+111405</t>
      </text>
    </comment>
    <comment ref="H27" authorId="12" shapeId="0" xr:uid="{69EDABDD-C4F7-44E1-A2DE-5180AAB4B1A1}">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Sandwiches 12750
Sin gluten 63650
Lorsani 373466
La pana 43000
Cangiano 56675
Coca Cola 68590
Cookies sin tacc 26400
Descartables 6000
Lorsani 10800</t>
      </text>
    </comment>
    <comment ref="H29" authorId="13" shapeId="0" xr:uid="{C119BA7B-644F-4B2B-B5C6-FD13A396884E}">
      <text>
        <t>[Comentario encadenado]
Su versión de Excel le permite leer este comentario encadenado; sin embargo, las ediciones que se apliquen se quitarán si el archivo se abre en una versión más reciente de Excel. Más información: https://go.microsoft.com/fwlink/?linkid=870924
Comentario:
    San luis a mil 16000
Margarina 8540
Cookies 128700
Lorsani 144865
Graficas 16000
Angeleri 127000
Cangiano 56675
Sin gluten 33250
Descartable 71010</t>
      </text>
    </comment>
    <comment ref="H31" authorId="14" shapeId="0" xr:uid="{1778C1A2-0969-45AD-A269-5FF96A456592}">
      <text>
        <t>[Comentario encadenado]
Su versión de Excel le permite leer este comentario encadenado; sin embargo, las ediciones que se apliquen se quitarán si el archivo se abre en una versión más reciente de Excel. Más información: https://go.microsoft.com/fwlink/?linkid=870924
Comentario:
    Cangiano 47625
Lorsani 426500
Sandwiches 12200
Adelanto paula 60000
Sin tacc 102000
Churros 12000
Margarina 20000
Valentina 15000
Andrea 42000</t>
      </text>
    </comment>
    <comment ref="H35" authorId="15" shapeId="0" xr:uid="{1E9D8EC1-E186-4105-9DC5-425B0582527E}">
      <text>
        <t>[Comentario encadenado]
Su versión de Excel le permite leer este comentario encadenado; sin embargo, las ediciones que se apliquen se quitarán si el archivo se abre en una versión más reciente de Excel. Más información: https://go.microsoft.com/fwlink/?linkid=870924
Comentario:
    Cangiano 35937
Churros 8000
Angeleri 127000
Adelanto Paula 20000
Adelanto Sofi 50000</t>
      </text>
    </comment>
    <comment ref="H37" authorId="16" shapeId="0" xr:uid="{94CEDB14-BBC1-4B4F-8C63-6A9E9DF3C736}">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La Pana 32200
Cangiano 113945
Sandwiches 14100
Lorsani 409486
Vale 33250
Adelanto Mati 400000</t>
      </text>
    </comment>
    <comment ref="H39" authorId="17" shapeId="0" xr:uid="{D31A6F40-C62B-4537-83D8-4766A01809D5}">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Tu postre 18000
Sin gluten 33250
Luz 413000
Tu proximo paso (3 meses) 450000
Monotributo 34000
Caja Social 29000
Ingresos brutos 21000
Gas 3400
Coca cola 62800
Cangiano 56977
Lorsani 99360</t>
      </text>
    </comment>
    <comment ref="H41" authorId="18" shapeId="0" xr:uid="{776C1887-B220-43DB-9DAC-27F65EEE8705}">
      <text>
        <t>[Comentario encadenado]
Su versión de Excel le permite leer este comentario encadenado; sin embargo, las ediciones que se apliquen se quitarán si el archivo se abre en una versión más reciente de Excel. Más información: https://go.microsoft.com/fwlink/?linkid=870924
Comentario:
    Lorsani 375998
Sin gluten 67000
Sandwiches 15550
Churros 8000
Cookies 126300
Cookies sin tacc 26400</t>
      </text>
    </comment>
    <comment ref="H43" authorId="19" shapeId="0" xr:uid="{C9C023E0-1D53-4B50-B694-73A630BFEED3}">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Descartables 58190
Sin tacc 35000
Lorsani 144671
Cangiano 49549
Adelanto Paula 40000</t>
      </text>
    </comment>
    <comment ref="H45" authorId="20" shapeId="0" xr:uid="{5A00E132-C0DC-4B72-BFA5-68170192E70C}">
      <text>
        <t>[Comentario encadenado]
Su versión de Excel le permite leer este comentario encadenado; sin embargo, las ediciones que se apliquen se quitarán si el archivo se abre en una versión más reciente de Excel. Más información: https://go.microsoft.com/fwlink/?linkid=870924
Comentario:
    Lorsani 467684
La Pana 22200
Sin gluten 43000
Churros 8000
Sandwiches 17100
Cangiano 79443
Lorsani 11783
Andrea 37000
Valentina 20000
Jesus 10000
Adelanto Sofi 10000</t>
      </text>
    </comment>
    <comment ref="H47" authorId="21" shapeId="0" xr:uid="{E20730DF-7A9E-440C-9DFB-4275DE0F22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Vale 73000
Cerrajero 42000
Sueldos 425682
</t>
      </text>
    </comment>
    <comment ref="H49" authorId="22" shapeId="0" xr:uid="{B6CC99B9-0E92-420D-83C9-5565A468E007}">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Lorsani 312081
Cangiano 56976
Angeleri 126200
La Pana 22200
Margarina 35000</t>
      </text>
    </comment>
    <comment ref="H51" authorId="23" shapeId="0" xr:uid="{F5D8F7A9-C3E7-44F6-BBFE-648AAAD85E15}">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Sandwiches 18450
Sin gluten 83500
Cookies 126300</t>
      </text>
    </comment>
    <comment ref="H53" authorId="24" shapeId="0" xr:uid="{19C26FF9-5D42-400E-B107-BCBB7360F07B}">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Cookies sin tacc 26400
Sandwiches 11300
Lorsani 87798
Descartables 69780
Cangiano 77646
Sin gluten 26500
Lorsani 355929
Coca Cola 95000
Adelanto Sofi 80000
Adelanto Paula 10000</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tc={36F7E054-3054-44DB-B4E2-C14942158B6A}</author>
    <author>tc={CA4E4584-53DF-4752-AB72-5A09D8972F7B}</author>
    <author>tc={74E72303-E8A1-4490-89D8-F85E9C212479}</author>
    <author>tc={D4608774-679F-4345-82F8-4FE6505116C4}</author>
    <author>tc={7F614DE1-E99D-4A27-8E1D-6CF9D52441ED}</author>
    <author>tc={AB1C0033-4502-4090-9C96-14AE66755C12}</author>
    <author>tc={FF71DF66-BB8E-4D72-BD90-48C3B2659729}</author>
    <author>tc={D52C14D8-DDFF-4018-AFDE-9D415CA5B009}</author>
    <author>tc={7760031C-BAA3-4005-989A-CD6638892A23}</author>
    <author>tc={F15E9B1F-EF44-43D2-A3F0-88647F68945F}</author>
    <author>tc={0BE6140D-8C85-4330-8B92-FB329DEAF1F7}</author>
    <author>tc={01823367-69B5-4691-B4DF-763DE17E466C}</author>
    <author>tc={D7DB2BB8-F98F-4F77-ADEB-54008696D57A}</author>
    <author>tc={C0D16A8D-1760-43E8-85B9-F239FF74038B}</author>
    <author>tc={B11CFAC1-2387-4B80-9745-1778354C7315}</author>
    <author>tc={2F409798-3C7A-4D99-9DCB-84F7F5905D93}</author>
    <author>tc={4B9F978F-BBDE-47F1-B212-269092656942}</author>
    <author>tc={515BA1DC-6139-42D3-8DEC-94960F837E62}</author>
    <author>tc={9480E3E9-6E2F-4173-8CE9-4E8E9E0E1C23}</author>
    <author>tc={B70D580C-2BCC-4531-8B69-EAE3F501EE41}</author>
    <author>tc={F423CD77-2D29-4D73-9179-B42396181061}</author>
    <author>tc={17416459-794A-4F0E-B903-E92EB5A2FD2A}</author>
    <author>tc={52F1B8F8-3B0B-4ED1-80CE-5126E722529E}</author>
    <author>tc={E57DE675-DA6E-4F3B-BDA0-A66E18E8FA56}</author>
    <author>tc={9DD71737-88B9-4C98-BADD-7C20C05B266F}</author>
    <author>tc={AD4FF4D5-983D-469A-B915-1AEC59DD77FC}</author>
  </authors>
  <commentList>
    <comment ref="H5" authorId="0" shapeId="0" xr:uid="{36F7E054-3054-44DB-B4E2-C14942158B6A}">
      <text>
        <t>[Comentario encadenado]
Su versión de Excel le permite leer este comentario encadenado; sin embargo, las ediciones que se apliquen se quitarán si el archivo se abre en una versión más reciente de Excel. Más información: https://go.microsoft.com/fwlink/?linkid=870924
Comentario:
    La pana 32200
Sin gluten 38500
Angeleri 126200
Valentina 10000
Andrea 45000
Jesus 18000
Sandwiches 8400</t>
      </text>
    </comment>
    <comment ref="H7" authorId="1" shapeId="0" xr:uid="{CA4E4584-53DF-4752-AB72-5A09D8972F7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Cangiano 59263
</t>
      </text>
    </comment>
    <comment ref="H9" authorId="2" shapeId="0" xr:uid="{74E72303-E8A1-4490-89D8-F85E9C212479}">
      <text>
        <t>[Comentario encadenado]
Su versión de Excel le permite leer este comentario encadenado; sin embargo, las ediciones que se apliquen se quitarán si el archivo se abre en una versión más reciente de Excel. Más información: https://go.microsoft.com/fwlink/?linkid=870924
Comentario:
    Abrochadora 10000
Churros 8000
Sandwiches 13750
Sin gluten 74500
Cookies 126300
Cookies sin tacc 39600
Angeleri 126200
Lorsani 326292</t>
      </text>
    </comment>
    <comment ref="H11" authorId="3" shapeId="0" xr:uid="{D4608774-679F-4345-82F8-4FE6505116C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Cangiano 49912+60711
Huevos 7200
Sin gluten 32500
Lorsani 272295+12605
</t>
      </text>
    </comment>
    <comment ref="H13" authorId="4" shapeId="0" xr:uid="{7F614DE1-E99D-4A27-8E1D-6CF9D52441ED}">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Sin gluten 30000
Sandiwches 14200
Lorsani 270068
Cangiano 59263</t>
      </text>
    </comment>
    <comment ref="H15" authorId="5" shapeId="0" xr:uid="{AB1C0033-4502-4090-9C96-14AE66755C12}">
      <text>
        <t>[Comentario encadenado]
Su versión de Excel le permite leer este comentario encadenado; sin embargo, las ediciones que se apliquen se quitarán si el archivo se abre en una versión más reciente de Excel. Más información: https://go.microsoft.com/fwlink/?linkid=870924
Comentario:
    Lorsani 274961
Cangiano 59263
Churros 8000
Margarina 34450
Sin gluten 26500
Adelanto Lauti 130000
Grafica 15000</t>
      </text>
    </comment>
    <comment ref="H17" authorId="6" shapeId="0" xr:uid="{FF71DF66-BB8E-4D72-BD90-48C3B2659729}">
      <text>
        <t>[Comentario encadenado]
Su versión de Excel le permite leer este comentario encadenado; sin embargo, las ediciones que se apliquen se quitarán si el archivo se abre en una versión más reciente de Excel. Más información: https://go.microsoft.com/fwlink/?linkid=870924
Comentario:
    Sandwiches 21200
Descartables 56100
Cookies 165000
Churros 8000
Vale 26500
Lorsani 342644
Huevos 23000
Valentin 15000
Adelanto Paula 7000
Alquiler 530000</t>
      </text>
    </comment>
    <comment ref="H19" authorId="7" shapeId="0" xr:uid="{D52C14D8-DDFF-4018-AFDE-9D415CA5B009}">
      <text>
        <t>[Comentario encadenado]
Su versión de Excel le permite leer este comentario encadenado; sin embargo, las ediciones que se apliquen se quitarán si el archivo se abre en una versión más reciente de Excel. Más información: https://go.microsoft.com/fwlink/?linkid=870924
Comentario:
    Sueldos 354980
Sandwiches 12750
Churros 8000
La Pana 22200
Sin gluten 27000
Andrea 63000</t>
      </text>
    </comment>
    <comment ref="H21" authorId="8" shapeId="0" xr:uid="{7760031C-BAA3-4005-989A-CD6638892A23}">
      <text>
        <t>[Comentario encadenado]
Su versión de Excel le permite leer este comentario encadenado; sin embargo, las ediciones que se apliquen se quitarán si el archivo se abre en una versión más reciente de Excel. Más información: https://go.microsoft.com/fwlink/?linkid=870924
Comentario:
    Adelanto Paula 55000
Fecula 135000
Sardo 26561
Lorsani 224365
Sandwiches 18450
Cangiano 78863
Churros 8000</t>
      </text>
    </comment>
    <comment ref="H23" authorId="9" shapeId="0" xr:uid="{F15E9B1F-EF44-43D2-A3F0-88647F68945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Vale 82000
Lorsani 339430
La Pana 22200
Cangiano 66832
Adelanto Lauti 50000
Adelanto Mati 50000
</t>
      </text>
    </comment>
    <comment ref="H25" authorId="10" shapeId="0" xr:uid="{0BE6140D-8C85-4330-8B92-FB329DEAF1F7}">
      <text>
        <t>[Comentario encadenado]
Su versión de Excel le permite leer este comentario encadenado; sin embargo, las ediciones que se apliquen se quitarán si el archivo se abre en una versión más reciente de Excel. Más información: https://go.microsoft.com/fwlink/?linkid=870924
Comentario:
    Adelanto Paula 40000
Churros 8000
Cookies sin tacc 35400
Sandwiches 15650
Sin tacc 104000
Cangiano 49912
Lorsani 177354
San Luis a mil 16000</t>
      </text>
    </comment>
    <comment ref="H27" authorId="11" shapeId="0" xr:uid="{01823367-69B5-4691-B4DF-763DE17E466C}">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Cookies 165000
Desartables 61420
Sandwiches 11200
Angeleri 135843
Lorsani 231699
Desinfección 70000</t>
      </text>
    </comment>
    <comment ref="H29" authorId="12" shapeId="0" xr:uid="{D7DB2BB8-F98F-4F77-ADEB-54008696D57A}">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Lorsani 511045
Sandwiches 18450
Vale 46000
La pana 32200
Cangiano 97487
Adelanto Paula 25000
Adelanto Sofi 50000</t>
      </text>
    </comment>
    <comment ref="H31" authorId="13" shapeId="0" xr:uid="{C0D16A8D-1760-43E8-85B9-F239FF74038B}">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Vale 67000
Angeleri 136000
Afip 32266
Gas 2889
Mi proximo paso 136800
Credito caja soc 57571
Vero 15000</t>
      </text>
    </comment>
    <comment ref="H33" authorId="14" shapeId="0" xr:uid="{B11CFAC1-2387-4B80-9745-1778354C7315}">
      <text>
        <t>[Comentario encadenado]
Su versión de Excel le permite leer este comentario encadenado; sin embargo, las ediciones que se apliquen se quitarán si el archivo se abre en una versión más reciente de Excel. Más información: https://go.microsoft.com/fwlink/?linkid=870924
Comentario:
    Edesal mayo 429994
Churros 4000
Cookies sin tacc 39600
Cangiano 21040
La pana 32200
Vale 32100
Lorsani 278725</t>
      </text>
    </comment>
    <comment ref="H35" authorId="15" shapeId="0" xr:uid="{2F409798-3C7A-4D99-9DCB-84F7F5905D93}">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4000
Cookies sin tacc 39600
Cangiano 21040
La Pana 32200
Vale 32100
Lorsani 278725</t>
      </text>
    </comment>
    <comment ref="H37" authorId="16" shapeId="0" xr:uid="{4B9F978F-BBDE-47F1-B212-269092656942}">
      <text>
        <t>[Comentario encadenado]
Su versión de Excel le permite leer este comentario encadenado; sin embargo, las ediciones que se apliquen se quitarán si el archivo se abre en una versión más reciente de Excel. Más información: https://go.microsoft.com/fwlink/?linkid=870924
Comentario:
    Curros 8000
Angeleri 136000
Sandwiches 18450
Vale 38500
Lorsani 124922</t>
      </text>
    </comment>
    <comment ref="H39" authorId="17" shapeId="0" xr:uid="{515BA1DC-6139-42D3-8DEC-94960F837E62}">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Lorsani 302659
Cangiano 79932
Vale 61000
Margarina 53355
Descartables 106570
Adelanto Paula 20000
Adelanto Sofi 10000</t>
      </text>
    </comment>
    <comment ref="H41" authorId="18" shapeId="0" xr:uid="{9480E3E9-6E2F-4173-8CE9-4E8E9E0E1C23}">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Cookies 165000
La Pana 32200
Sandwiches 19850
Sin gluten 51000
Lorsani 427191</t>
      </text>
    </comment>
    <comment ref="H43" authorId="19" shapeId="0" xr:uid="{B70D580C-2BCC-4531-8B69-EAE3F501EE41}">
      <text>
        <t>[Comentario encadenado]
Su versión de Excel le permite leer este comentario encadenado; sin embargo, las ediciones que se apliquen se quitarán si el archivo se abre en una versión más reciente de Excel. Más información: https://go.microsoft.com/fwlink/?linkid=870924
Comentario:
    Andrea 70000
Jesus 10000
Valen 10000
Sin gluten 62500</t>
      </text>
    </comment>
    <comment ref="H45" authorId="20" shapeId="0" xr:uid="{F423CD77-2D29-4D73-9179-B4239618106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Coca cola 80481
Lorsani 352038
Cangiano 83401
Angeleri 136000
</t>
      </text>
    </comment>
    <comment ref="H47" authorId="21" shapeId="0" xr:uid="{17416459-794A-4F0E-B903-E92EB5A2FD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Llaves 24000
Sandwiches 14200
Vale 82000
La Pana 32200
Cangiano 74050
Lorsani 117669
Adelanto Matu 205000
Adelanto Paula 35000
Adelanto Sofi 40000
</t>
      </text>
    </comment>
    <comment ref="H49" authorId="22" shapeId="0" xr:uid="{52F1B8F8-3B0B-4ED1-80CE-5126E722529E}">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Tu postre 40000
Angeleri 136000
Cangiano 57481
Lorsani 163106
Sin gluten 31500
Margarina 35600
Sal 1600</t>
      </text>
    </comment>
    <comment ref="H51" authorId="23" shapeId="0" xr:uid="{E57DE675-DA6E-4F3B-BDA0-A66E18E8FA56}">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La Pana 23400
Cookies 165000
Descartables 77640
Sandwiches 12750
Lorsani 347587
Sin gluten 82000
Cangiano 92959</t>
      </text>
    </comment>
    <comment ref="H53" authorId="24" shapeId="0" xr:uid="{9DD71737-88B9-4C98-BADD-7C20C05B266F}">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Lorsani 431608
Margarina 35500
Cangiano 49912
Sin gluten 40000</t>
      </text>
    </comment>
    <comment ref="H55" authorId="25" shapeId="0" xr:uid="{AD4FF4D5-983D-469A-B915-1AEC59DD77FC}">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Vale 41800
Sandwiches 18450
Adelanto Sofi 25000
Adelanto Paula 40000
Andrea 70000</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tc={C555C150-5C7B-4473-841C-92859385C325}</author>
    <author>tc={C8A81747-67E5-4152-A4CA-64E6EF14BD4D}</author>
    <author>tc={83A0550F-40C2-45CD-A985-5AD016ABE556}</author>
    <author>tc={2EEDB649-8ED8-4A00-8E39-0F1A3ADD7B11}</author>
    <author>tc={5435431D-BDE9-4375-9C53-8BAF45931A91}</author>
    <author>tc={6AA07EF0-4AC2-4D8B-A8DE-CA4E110040F8}</author>
    <author>tc={CF7CBD4D-8C2C-4628-9D7B-ACC4E7D128F8}</author>
    <author>tc={C1852DAB-ACA0-4586-B2B8-F4BCA94049F2}</author>
    <author>tc={A69433CE-E443-4DBD-8B77-38C948F13DBC}</author>
    <author>tc={2F521DDF-E40A-4426-8164-8B75DCA26C64}</author>
    <author>tc={4E0B7A6C-ABE3-499E-93F5-7CFAF264649F}</author>
    <author>tc={49A8E571-3198-47A4-898C-F87295399B31}</author>
    <author>tc={BDEBA5E0-2058-4A34-88C2-458A3A0000AD}</author>
    <author>tc={813596C8-7D9C-4F36-8739-EF8AD9ED48DC}</author>
    <author>tc={E835FF0C-FFD1-476F-B538-05FE069D4027}</author>
    <author>tc={8A6A8ACC-81E0-4FDC-ABE3-9BACE69DF244}</author>
    <author>tc={C931F325-1897-470B-9F62-2ABED3DDDDA9}</author>
    <author>tc={73DBB9B3-F15B-4788-90A6-7F517950ACEF}</author>
    <author>tc={1639E64A-73D4-4EEF-9540-8CAE8EF78693}</author>
    <author>tc={989F1ECB-39E7-46C8-9950-98357826629C}</author>
    <author>tc={9E2B6781-6D71-4F2B-A828-18B5A2C2DACD}</author>
    <author>tc={DEB1A610-744B-491F-99DC-549359AC0907}</author>
    <author>tc={FA7C1B0F-6561-4A74-9600-F02D36656B74}</author>
    <author>tc={48B04927-B75A-4E8C-8573-CE3A34E08E94}</author>
    <author>tc={19F23A88-F0D3-4752-89F3-CCE145FD605E}</author>
  </authors>
  <commentList>
    <comment ref="H3" authorId="0" shapeId="0" xr:uid="{C555C150-5C7B-4473-841C-92859385C325}">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Lorsani 248643
Cangiano 59263
La pana 34400</t>
      </text>
    </comment>
    <comment ref="H5" authorId="1" shapeId="0" xr:uid="{C8A81747-67E5-4152-A4CA-64E6EF14BD4D}">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Valeria 80500
Cangiano 21039
Lorsani 317449
Cookies 165000
Sandwiches 13650
Fecula 136000</t>
      </text>
    </comment>
    <comment ref="H7" authorId="2" shapeId="0" xr:uid="{83A0550F-40C2-45CD-A985-5AD016ABE556}">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Cangiano 98188
Cookies sin tacc 39600
La pana 5120
Lorsani 227877</t>
      </text>
    </comment>
    <comment ref="H9" authorId="3" shapeId="0" xr:uid="{2EEDB649-8ED8-4A00-8E39-0F1A3ADD7B1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La pana 45400
Descartables 85090
Fecula 131000
Sandwiches 20800
Margarina 52673
Cangiano 97487
Lorsani 523637
Adelanto Sofi 3000
Adelanto Paula 3000
</t>
      </text>
    </comment>
    <comment ref="H11" authorId="4" shapeId="0" xr:uid="{5435431D-BDE9-4375-9C53-8BAF45931A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Vale 132500
Angeleri 131000
Aguinaldo Lauti 205275
</t>
      </text>
    </comment>
    <comment ref="H13" authorId="5" shapeId="0" xr:uid="{6AA07EF0-4AC2-4D8B-A8DE-CA4E110040F8}">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Sanwiches 25000
Vale sin tacc 15000
Andrea 10000
Sueldos 802318 (aguinaldo lauti se puso el viernes)</t>
      </text>
    </comment>
    <comment ref="H15" authorId="6" shapeId="0" xr:uid="{CF7CBD4D-8C2C-4628-9D7B-ACC4E7D128F8}">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Cangiano 100782
La Pana 23400
Lorsani 414845
Cookies 165000
Descartables 12900
Cookies sin tacc 39600</t>
      </text>
    </comment>
    <comment ref="H17" authorId="7" shapeId="0" xr:uid="{C1852DAB-ACA0-4586-B2B8-F4BCA94049F2}">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Vale 74500
Cangiano 11688
Lorsani 248376
Matias 10000
Desinfección 10000
Alquiler 530000</t>
      </text>
    </comment>
    <comment ref="H19" authorId="8" shapeId="0" xr:uid="{A69433CE-E443-4DBD-8B77-38C948F13DBC}">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Sandwiches 22000
Lorsani 125170
Cangiano 83401
Sin tacc 26500</t>
      </text>
    </comment>
    <comment ref="H21" authorId="9" shapeId="0" xr:uid="{2F521DDF-E40A-4426-8164-8B75DCA26C64}">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Sin tacc 26500
Descartables 76420
La pana 92200
Angeleri 130100
Lorsani 207662
Adelanto Sofía 80000
Adelanto Paula 40000</t>
      </text>
    </comment>
    <comment ref="H23" authorId="10" shapeId="0" xr:uid="{4E0B7A6C-ABE3-499E-93F5-7CFAF264649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Sin gluten 46000
Sandwiches 18200
Lorsani 542006
Cangiano 90969
</t>
      </text>
    </comment>
    <comment ref="H25" authorId="11" shapeId="0" xr:uid="{49A8E571-3198-47A4-898C-F87295399B31}">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Valeria 47500</t>
      </text>
    </comment>
    <comment ref="H27" authorId="12" shapeId="0" xr:uid="{BDEBA5E0-2058-4A34-88C2-458A3A0000AD}">
      <text>
        <t>[Comentario encadenado]
Su versión de Excel le permite leer este comentario encadenado; sin embargo, las ediciones que se apliquen se quitarán si el archivo se abre en una versión más reciente de Excel. Más información: https://go.microsoft.com/fwlink/?linkid=870924
Comentario:
    Sandwiches 22000
Valeria 24000
Churros 4000
Adelanto Paula 7000</t>
      </text>
    </comment>
    <comment ref="H29" authorId="13" shapeId="0" xr:uid="{813596C8-7D9C-4F36-8739-EF8AD9ED48DC}">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Fecula 131000
Sandwiches 22000
Vale 38500
Cookies sin tacc 39600
Cookies 165000
Lorsani 228842
Adelanto Paula 45000
Adelanto Matias 20000
San Luis a 1000 16000
Gas 2846
Monotributo 32221
Mi prox paso 136800</t>
      </text>
    </comment>
    <comment ref="H31" authorId="14" shapeId="0" xr:uid="{E835FF0C-FFD1-476F-B538-05FE069D40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Grafica 16000
Lorsani 232734
Cangiano 50929
Valeria 57500
Adelanto Sofia 23000
Contadora 15000
Caja social 83522
Locker Manu 100000
Cangiano 59263
Parte 2 boleta luz 300000
</t>
      </text>
    </comment>
    <comment ref="H33" authorId="15" shapeId="0" xr:uid="{8A6A8ACC-81E0-4FDC-ABE3-9BACE69DF2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La pana 22000
Descartables 58760
Cangiano 84570
Lorsani 444237
Luz 400000
</t>
      </text>
    </comment>
    <comment ref="H35" authorId="16" shapeId="0" xr:uid="{C931F325-1897-470B-9F62-2ABED3DDDDA9}">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Vale 70000
Adelanto Pato 10000
Cookies sin tacc 45000
Vale 46000
parte 2da boleta luz 291800</t>
      </text>
    </comment>
    <comment ref="H37" authorId="17" shapeId="0" xr:uid="{73DBB9B3-F15B-4788-90A6-7F517950ACEF}">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Andrea 88000
Sueldos 535605</t>
      </text>
    </comment>
    <comment ref="H39" authorId="18" shapeId="0" xr:uid="{1639E64A-73D4-4EEF-9540-8CAE8EF78693}">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Sandwiches 11000
Lorsani 441168
Sal Fina 1600
Cangiano 61093
Sin gluten 38000</t>
      </text>
    </comment>
    <comment ref="H41" authorId="19" shapeId="0" xr:uid="{989F1ECB-39E7-46C8-9950-98357826629C}">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Adelanto Sofi 50000
Sandwiches 13650
Cangiano 35412
Vale 38000
Cookies sin tacc 45000
Graficas 6500</t>
      </text>
    </comment>
    <comment ref="H43" authorId="20" shapeId="0" xr:uid="{9E2B6781-6D71-4F2B-A828-18B5A2C2DACD}">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Lorsani 440453
Cangiano 59263
La pana 34400
Sin gluten 46000
Adelanto Matias 20000
Angeleri 131000
Cookies 165000</t>
      </text>
    </comment>
    <comment ref="H45" authorId="21" shapeId="0" xr:uid="{DEB1A610-744B-491F-99DC-549359AC090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Adelanto Paula 32000
Descartables 53480
Angeleri 131000
Vale 26500
Sandwiches 12800
Cangiano 59263
Lorsani 216204
</t>
      </text>
    </comment>
    <comment ref="H47" authorId="22" shapeId="0" xr:uid="{FA7C1B0F-6561-4A74-9600-F02D36656B74}">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Sin gluten 82600
Cangiano 60458
Lorsani 520086
Coca cola 113000
Municipalidad 120000
Adelanto Sofia 10000
Valentina 15000</t>
      </text>
    </comment>
    <comment ref="H49" authorId="23" shapeId="0" xr:uid="{48B04927-B75A-4E8C-8573-CE3A34E08E94}">
      <text>
        <t>[Comentario encadenado]
Su versión de Excel le permite leer este comentario encadenado; sin embargo, las ediciones que se apliquen se quitarán si el archivo se abre en una versión más reciente de Excel. Más información: https://go.microsoft.com/fwlink/?linkid=870924
Comentario:
    Andrea 88000
Churros 8000
La pana 34400
Adelanto Paula 10000</t>
      </text>
    </comment>
    <comment ref="H51" authorId="24" shapeId="0" xr:uid="{19F23A88-F0D3-4752-89F3-CCE145FD605E}">
      <text>
        <t>[Comentario encadenado]
Su versión de Excel le permite leer este comentario encadenado; sin embargo, las ediciones que se apliquen se quitarán si el archivo se abre en una versión más reciente de Excel. Más información: https://go.microsoft.com/fwlink/?linkid=870924
Comentario:
    Lorsani 272792
Cangiano 68735
.Sin gluten 46000
Cookies sin tacc 60000
Adelanto Paula 15000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tc={5BCFB16A-31C0-46B2-A1F3-8C7B5D819A57}</author>
    <author>tc={24A5525E-2A71-44BA-BE3C-933F3B25E4AA}</author>
    <author>tc={8B06096C-5BFA-4260-BC66-6F6EFF79F7E4}</author>
    <author>tc={0E844875-1DD1-451A-96C6-8EF12B75BE68}</author>
    <author>tc={BD15B000-DFA0-4A22-8248-AE5AC881882A}</author>
    <author>tc={8B73991D-37AB-413C-9F8B-5B228E137E80}</author>
    <author>tc={9A72A278-D807-44C7-A75E-EE95400FEECD}</author>
    <author>tc={3FF7CED9-DC6E-4C23-B233-1CCBD60B14DD}</author>
    <author>tc={9B8B80E3-EB7D-4455-A564-1B1A1FB8DB2B}</author>
    <author>tc={5F3E0A9A-AF7C-4760-882D-F58605834A06}</author>
    <author>tc={68DF57F2-2AC3-40F8-9F0E-3E4175F5E924}</author>
    <author>tc={47AE0A05-2126-434A-835D-73AB36200A82}</author>
    <author>tc={9ABCF491-24B9-4A88-9898-18660C8B7523}</author>
    <author>tc={25DC03DF-D983-46F8-8AF7-88E0B6D92B8D}</author>
    <author>tc={5DDCB6BF-0490-46CF-BCFC-608190D45EDF}</author>
    <author>tc={5E51FE5D-45EC-41EE-9FD9-46D01AB2F0DD}</author>
    <author>tc={594DB9B6-3A73-4C72-A612-EAE52A571BCB}</author>
    <author>tc={26182F8A-F3EE-461B-A23E-B94BDCD6099F}</author>
    <author>tc={2DE754AB-A229-4167-A842-3A75776EE44C}</author>
    <author>tc={8BAD9192-C9DD-4723-9DF1-330E26478349}</author>
    <author>tc={AE5FB0FD-7980-4F50-A89D-B25CA7DED53D}</author>
    <author>tc={F3F1F39C-4964-45D4-B10A-69A89589BB24}</author>
    <author>tc={1E20BBF3-C2B4-40ED-9DEC-4D1C354F636B}</author>
    <author>tc={62BDAA1C-C497-47EB-AE2C-0E6A3004E463}</author>
    <author>tc={C3E701A9-DC03-42BA-8705-6C0A1B19937A}</author>
    <author>tc={263CE79A-2737-4716-B409-1ED1405B2231}</author>
    <author>tc={F85CB97E-22CF-4BD9-90E0-21CB6FEB34DD}</author>
  </authors>
  <commentList>
    <comment ref="H3" authorId="0" shapeId="0" xr:uid="{5BCFB16A-31C0-46B2-A1F3-8C7B5D819A5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Sandwiches 18900
La Pana 34400
Sin gluten 31000
Cangiano 59263
Lorsani 214102
Adelanto Lauti 50000
Adelanto Mati 10000
Adelanto Sofi 10000
Angeleri 131000
</t>
      </text>
    </comment>
    <comment ref="H5" authorId="1" shapeId="0" xr:uid="{24A5525E-2A71-44BA-BE3C-933F3B25E4AA}">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Lorsani 32598
Adelanto Paula 50000
Cookies 165000
Sin gluten 19500</t>
      </text>
    </comment>
    <comment ref="H7" authorId="2" shapeId="0" xr:uid="{8B06096C-5BFA-4260-BC66-6F6EFF79F7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Cangiano 83401
Descartables 59880
Lorsani 560520
La pana 22000
</t>
      </text>
    </comment>
    <comment ref="H9" authorId="3" shapeId="0" xr:uid="{0E844875-1DD1-451A-96C6-8EF12B75BE68}">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Sandwiches 22000
Sin gluten 115000
Angeleri 130020</t>
      </text>
    </comment>
    <comment ref="H11" authorId="4" shapeId="0" xr:uid="{BD15B000-DFA0-4A22-8248-AE5AC881882A}">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8000
Sin gluten 19000
Andrea 35000
Sueldos 581172</t>
      </text>
    </comment>
    <comment ref="H13" authorId="5" shapeId="0" xr:uid="{8B73991D-37AB-413C-9F8B-5B228E137E8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Lorsani 200870
Sin tacc 71500
La Pana 45500
Cangiano 74050
Adelanto Lautaro 100000
</t>
      </text>
    </comment>
    <comment ref="H15" authorId="6" shapeId="0" xr:uid="{9A72A278-D807-44C7-A75E-EE95400FEECD}">
      <text>
        <t>[Comentario encadenado]
Su versión de Excel le permite leer este comentario encadenado; sin embargo, las ediciones que se apliquen se quitarán si el archivo se abre en una versión más reciente de Excel. Más información: https://go.microsoft.com/fwlink/?linkid=870924
Comentario:
    Cookies 165000
Lorsani 214960
Cangiano 65855
Alquiler 530000
Cookies sin tacc 57500</t>
      </text>
    </comment>
    <comment ref="H17" authorId="7" shapeId="0" xr:uid="{3FF7CED9-DC6E-4C23-B233-1CCBD60B14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Adelanto Paula 110000
Adelanto Sofi 37000+23000
Adelanto Pato 80000
</t>
      </text>
    </comment>
    <comment ref="H19" authorId="8" shapeId="0" xr:uid="{9B8B80E3-EB7D-4455-A564-1B1A1FB8DB2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Lorsani 229428
Desacartables 33350
Sandwiches 22200
La pana 23400
Agua Dispenser 8200
</t>
      </text>
    </comment>
    <comment ref="H21" authorId="9" shapeId="0" xr:uid="{5F3E0A9A-AF7C-4760-882D-F58605834A0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Sin tacc 115000
Cangiano 67430
Adenalto Paula 40000
Lorsani 294306
</t>
      </text>
    </comment>
    <comment ref="H23" authorId="10" shapeId="0" xr:uid="{68DF57F2-2AC3-40F8-9F0E-3E4175F5E924}">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45000
Adelanto Sofi 20000
Adelanto Mati 50000</t>
      </text>
    </comment>
    <comment ref="H25" authorId="11" shapeId="0" xr:uid="{47AE0A05-2126-434A-835D-73AB36200A82}">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Lorsani 521578
Cangiano 90969
Sandwiches 15800
Adelanto Pato 10000
Adelanto Paula 20000
Adelanto Sofi 35000</t>
      </text>
    </comment>
    <comment ref="H27" authorId="12" shapeId="0" xr:uid="{9ABCF491-24B9-4A88-9898-18660C8B7523}">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Sin tacc 94000
Cookies sin tacc 60000
Cookies 165000
Adelanto Sofia 20000</t>
      </text>
    </comment>
    <comment ref="H29" authorId="13" shapeId="0" xr:uid="{25DC03DF-D983-46F8-8AF7-88E0B6D92B8D}">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Angeleri 133000
Lorsani 269262
Cangiano 63183</t>
      </text>
    </comment>
    <comment ref="H31" authorId="14" shapeId="0" xr:uid="{5DDCB6BF-0490-46CF-BCFC-608190D45EDF}">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Cangiano 59786
Lorsani 458426
Sin tacc 26500
Angeleri 140000
Descartables 59860</t>
      </text>
    </comment>
    <comment ref="H33" authorId="15" shapeId="0" xr:uid="{5E51FE5D-45EC-41EE-9FD9-46D01AB2F0DD}">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La Pana 34400
Adelanto Sofia 10000
Valentina 25000
Andrea 32800</t>
      </text>
    </comment>
    <comment ref="H35" authorId="16" shapeId="0" xr:uid="{594DB9B6-3A73-4C72-A612-EAE52A571BC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4500
Sueldos 400014
</t>
      </text>
    </comment>
    <comment ref="H37" authorId="17" shapeId="0" xr:uid="{26182F8A-F3EE-461B-A23E-B94BDCD6099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Sandwiches 16650
Adelanto Paula 30000
Adelanto Sofia 80000
Cookies sin tacc 60000
</t>
      </text>
    </comment>
    <comment ref="H39" authorId="18" shapeId="0" xr:uid="{2DE754AB-A229-4167-A842-3A75776EE44C}">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Cookies 150600
Lorsani 215925
Cangiano 83401
Adelanto Pato 30400</t>
      </text>
    </comment>
    <comment ref="H41" authorId="19" shapeId="0" xr:uid="{8BAD9192-C9DD-4723-9DF1-330E26478349}">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4500
Lorsani 220338
Sin gluten 74500
Angeleri 139000
Adelanto Mati 80000</t>
      </text>
    </comment>
    <comment ref="H43" authorId="20" shapeId="0" xr:uid="{AE5FB0FD-7980-4F50-A89D-B25CA7DED5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4500
Sin gluten 38500
Adelanto Sofia 40000
Adelanto Pato 10000
</t>
      </text>
    </comment>
    <comment ref="H45" authorId="21" shapeId="0" xr:uid="{F3F1F39C-4964-45D4-B10A-69A89589BB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Adelanto Lautaro 10000
Cangiano 66831
Lorsani 235618
</t>
      </text>
    </comment>
    <comment ref="H47" authorId="22" shapeId="0" xr:uid="{1E20BBF3-C2B4-40ED-9DEC-4D1C354F636B}">
      <text>
        <t>[Comentario encadenado]
Su versión de Excel le permite leer este comentario encadenado; sin embargo, las ediciones que se apliquen se quitarán si el archivo se abre en una versión más reciente de Excel. Más información: https://go.microsoft.com/fwlink/?linkid=870924
Comentario:
    Adelanto Paula 20000
Sin gluten 26500
Adelanto Sofia 15000</t>
      </text>
    </comment>
    <comment ref="H49" authorId="23" shapeId="0" xr:uid="{62BDAA1C-C497-47EB-AE2C-0E6A3004E463}">
      <text>
        <t>[Comentario encadenado]
Su versión de Excel le permite leer este comentario encadenado; sin embargo, las ediciones que se apliquen se quitarán si el archivo se abre en una versión más reciente de Excel. Más información: https://go.microsoft.com/fwlink/?linkid=870924
Comentario:
    Sandwiches 24100
Sin gluten 71500
Lorsani 240900
Cangiano 82130
Adelanto Paula 30000</t>
      </text>
    </comment>
    <comment ref="H51" authorId="24" shapeId="0" xr:uid="{C3E701A9-DC03-42BA-8705-6C0A1B19937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Lorsani 233308
Cangiano 59263
Sin gluten 38500
Cookies 160800
</t>
      </text>
    </comment>
    <comment ref="H53" authorId="25" shapeId="0" xr:uid="{263CE79A-2737-4716-B409-1ED1405B2231}">
      <text>
        <t>[Comentario encadenado]
Su versión de Excel le permite leer este comentario encadenado; sin embargo, las ediciones que se apliquen se quitarán si el archivo se abre en una versión más reciente de Excel. Más información: https://go.microsoft.com/fwlink/?linkid=870924
Comentario:
    Lorsani 215503
La Pana 34400
Churros 4500</t>
      </text>
    </comment>
    <comment ref="H55" authorId="26" shapeId="0" xr:uid="{F85CB97E-22CF-4BD9-90E0-21CB6FEB34DD}">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4500
Descartables 85110
Cangiano 59263
Vale 75500
Lorsani 164762
Cookies sin tacc 57500
Adelanto Paula 50000</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tc={79A87070-90D5-4C67-B90C-CFBD4F781604}</author>
    <author>tc={F792C1D3-1162-468A-9180-406D85FFBD0D}</author>
    <author>tc={C90300B2-4DD1-4CAE-9BEC-2AC5D6796FCA}</author>
    <author>tc={0808AF84-49C8-4429-9B28-82771AE00B06}</author>
    <author>tc={1B3518AD-1FB4-436F-ABEB-AC913FE1A314}</author>
    <author>tc={5428A18E-7058-4269-998E-68ADEC43D983}</author>
    <author>tc={6E741E25-7390-4ED4-9C9B-092893733A79}</author>
  </authors>
  <commentList>
    <comment ref="H3" authorId="0" shapeId="0" xr:uid="{79A87070-90D5-4C67-B90C-CFBD4F781604}">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4500
Valen sin tacc 32500
Sandwiches 13800
Lorsani 242518
Angeleri 139000
La Pana 11000
Monotributo 70000
Gas 6352
San Luis a mil 40000
Vero 15000</t>
      </text>
    </comment>
    <comment ref="H5" authorId="1" shapeId="0" xr:uid="{F792C1D3-1162-468A-9180-406D85FFBD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4500
Locker 66000
Sueldos 519175
</t>
      </text>
    </comment>
    <comment ref="H7" authorId="2" shapeId="0" xr:uid="{C90300B2-4DD1-4CAE-9BEC-2AC5D6796FCA}">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Sandwiches 98900
Cangiano 80283
Lorsani 317899
Sin tacc 38500
Luz 542000</t>
      </text>
    </comment>
    <comment ref="H9" authorId="3" shapeId="0" xr:uid="{0808AF84-49C8-4429-9B28-82771AE00B0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Lorsani 240529
Vale 74500
Cookies sin tacc 60000
Cangiano 38223
La pana 34400
Adelanto Paula 30000
Adelanto Sofi 5000
</t>
      </text>
    </comment>
    <comment ref="H11" authorId="4" shapeId="0" xr:uid="{1B3518AD-1FB4-436F-ABEB-AC913FE1A314}">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Lorsani 260063
Vale 38500
Angeleri 139000
Cangiano 21039
Sandwiches 9800
Cookies 171600</t>
      </text>
    </comment>
    <comment ref="H13" authorId="5" shapeId="0" xr:uid="{5428A18E-7058-4269-998E-68ADEC43D983}">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Descartables 69680
Vale 38500
Cangiano 60221
Lorsani 147841
Adelanto Sofi 80000
ALQUILER 630000</t>
      </text>
    </comment>
    <comment ref="H15" authorId="6" shapeId="0" xr:uid="{6E741E25-7390-4ED4-9C9B-092893733A79}">
      <text>
        <t>[Comentario encadenado]
Su versión de Excel le permite leer este comentario encadenado; sin embargo, las ediciones que se apliquen se quitarán si el archivo se abre en una versión más reciente de Excel. Más información: https://go.microsoft.com/fwlink/?linkid=870924
Comentario:
    Churros 9000
Vale 38500
Lorsani 416566
Cangiano 59263
Sandwiches 17700
La Pana 23400
Adelanto Matias 70000
Crédito tu prox paso 275000
Crédito caja social 107000
Valentina 15000
Andrea 20500
Coca Cola 95450</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tc={9C795CDC-549D-4DDC-8B19-1CC199BF83CD}</author>
    <author>tc={C0DCBEAD-6DCC-4D43-A52C-2A964E6E50FE}</author>
    <author>tc={C8DF762E-201A-4283-9CEF-3435E4CE6216}</author>
    <author>tc={BF56E6B0-2B09-4B79-BAD1-33BD7D9E4B73}</author>
    <author>tc={CCC7030A-1577-4233-9DBE-F06C4D7EE539}</author>
    <author>tc={21346D06-D91A-4561-BDC0-3CF1298D6A8D}</author>
    <author>tc={72E461EC-53DD-4EB6-9457-086B471CC53E}</author>
    <author>tc={6CB02FED-CFC4-4C76-8033-F919B130D86E}</author>
    <author>tc={7F8310D6-D294-48C6-A8C9-6EA01A514141}</author>
    <author>tc={C9ADEE43-662F-4F47-A257-D520601BF110}</author>
    <author>tc={A1FE4799-5BB9-49B4-BC1C-9053CDCBB498}</author>
    <author>tc={4D5A3D29-FFAC-45F4-816A-073A8333E701}</author>
    <author>tc={C15A4C89-E5E7-41EF-8901-468762F2993A}</author>
    <author>tc={A3C0A90F-F9CD-4E64-88AF-1211CE1D3726}</author>
    <author>tc={8FED145B-665E-417D-8B9C-D6F1D8E16C36}</author>
    <author>tc={4C51B3CD-DEF4-4B88-B340-D29B26A8BE53}</author>
    <author>tc={2E4BEEEF-80EA-4058-83DD-5739B37DF788}</author>
    <author>tc={57EA0D94-51B0-499C-A8D7-55C885355B31}</author>
    <author>tc={CAA0D15E-FA99-49C8-AD49-0D5FE6A23746}</author>
    <author>tc={9D583F36-5AC8-403D-B8AA-BFB3AACC4722}</author>
    <author>tc={38EE5ECB-4076-4D62-B0FE-408EE5176E85}</author>
    <author>tc={24974FFF-82F0-4BFF-A888-E7C7C59AB810}</author>
    <author>tc={670A7D9D-DE51-41CF-A35B-B0400998601C}</author>
    <author>tc={D7EFB7FF-A148-4C15-B7C6-BF107C852AD8}</author>
    <author>tc={FDF9765D-517F-43AA-839D-E2688896317E}</author>
  </authors>
  <commentList>
    <comment ref="H3" authorId="0" shapeId="0" xr:uid="{9C795CDC-549D-4DDC-8B19-1CC199BF83CD}">
      <text>
        <t>[Comentario encadenado]
Su versión de Excel le permite leer este comentario encadenado; sin embargo, las ediciones que se apliquen se quitarán si el archivo se abre en una versión más reciente de Excel. Más información: https://go.microsoft.com/fwlink/?linkid=870924
Comentario:
    - Churros $18.000
- Vale $135.100
- Cangiano $60.243
- Lorsani $277.508
- Adelanto Sofi $60.000
- Adelanto Mati $50.000
- La Pana $45.400</t>
      </text>
    </comment>
    <comment ref="H5" authorId="1" shapeId="0" xr:uid="{C0DCBEAD-6DCC-4D43-A52C-2A964E6E50FE}">
      <text>
        <t>[Comentario encadenado]
Su versión de Excel le permite leer este comentario encadenado; sin embargo, las ediciones que se apliquen se quitarán si el archivo se abre en una versión más reciente de Excel. Más información: https://go.microsoft.com/fwlink/?linkid=870924
Comentario:
    - Churros $9.000
- Lorsani $195.361
- Margarina $ 19.400
- Fécula $140.000
- Adelanto Paula $45.000
- Adelanto Lautaro $40.000
- Cookies sin tacc $60.000
Vale sin gluten $26.500</t>
      </text>
    </comment>
    <comment ref="H7" authorId="2" shapeId="0" xr:uid="{C8DF762E-201A-4283-9CEF-3435E4CE6216}">
      <text>
        <t>[Comentario encadenado]
Su versión de Excel le permite leer este comentario encadenado; sin embargo, las ediciones que se apliquen se quitarán si el archivo se abre en una versión más reciente de Excel. Más información: https://go.microsoft.com/fwlink/?linkid=870924
Comentario:
    - Churros $9.000
- Sandwiches $16.200
- Cangiano $72051
- Vale $28.500
- Lorsani $88.165
- Adelanto Sofi $15.000</t>
      </text>
    </comment>
    <comment ref="H9" authorId="3" shapeId="0" xr:uid="{BF56E6B0-2B09-4B79-BAD1-33BD7D9E4B73}">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JUEVES:
- Churros $9.000
- Lorsani $510.140
- Cangiano $60.243
- Descartables $42.370
- Vale $51.500</t>
      </text>
    </comment>
    <comment ref="H11" authorId="4" shapeId="0" xr:uid="{CCC7030A-1577-4233-9DBE-F06C4D7EE539}">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VIERNES:
- Churros $9.000
- Vale $55.000
- Sandwiches $14.700
- Cookies $264.900
- Cangiano $27.605
- Adelanto Sofia $10.000
- Adelanto Mati $30.000</t>
      </text>
    </comment>
    <comment ref="H13" authorId="5" shapeId="0" xr:uid="{21346D06-D91A-4561-BDC0-3CF1298D6A8D}">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SÁBADO
- Churros $9.000
- Adelanto Sofia $35.000
- Adelanto Paula $135.000
GASTOS DEL DOMINGO
Gas $4026
Seguro de responsabilidad civil $18.103
Wi fi $19.500
Crédito tu próximo paso $137.000
Monotributo $37124</t>
      </text>
    </comment>
    <comment ref="H15" authorId="6" shapeId="0" xr:uid="{72E461EC-53DD-4EB6-9457-086B471CC53E}">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LUNES:
- La Pana $51.400
- Cangiano $80.280
- Lorsani $338.298
- Adelanto Lautaro $40.000
- Adelanto Pato $20.000</t>
      </text>
    </comment>
    <comment ref="H17" authorId="7" shapeId="0" xr:uid="{6CB02FED-CFC4-4C76-8033-F919B130D86E}">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MARTES:
- Churros $9.000
- Sandwiches $17.700
- Lorsani $353.524
- Andrea $18.000
- Ingresos Brutos $57.244
- Alquiler $630.000
- Honorarios Vero $15.000
- Impuesto al comercio SIGEM $15.400
- Cangiano $60.243</t>
      </text>
    </comment>
    <comment ref="H19" authorId="8" shapeId="0" xr:uid="{7F8310D6-D294-48C6-A8C9-6EA01A51414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GASTOS DE MIERCOLES:
- Churros $9.000
- Lorsani $240.977
- Adelanto Lautaro $25.000
- Angeleri $147.920
- Vale $74.500
- Adelanto Pato $160.000
- Adelanto Sofi $30.000
- Jarra lechera para cafetera $24000
</t>
      </text>
    </comment>
    <comment ref="H21" authorId="9" shapeId="0" xr:uid="{C9ADEE43-662F-4F47-A257-D520601BF110}">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JUEVES:
- Cangiano $66.207
- Lorsani $334.436
- Churros $9.000
- Angeleri $147.920
- Vale $38.500
- Cookies sin tacc $60.000
- Descartables $104.690
- Adelanto Paula $15.000</t>
      </text>
    </comment>
    <comment ref="H23" authorId="10" shapeId="0" xr:uid="{A1FE4799-5BB9-49B4-BC1C-9053CDCBB49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VIERNES:
- Churros $9.000
- Cookies $255.900
- La Pana $51.400
- Cangiano $39.204
- Lorsani $27.651
- Vale $98.500</t>
      </text>
    </comment>
    <comment ref="H25" authorId="11" shapeId="0" xr:uid="{4D5A3D29-FFAC-45F4-816A-073A8333E701}">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SABADO:
- Churros $4.500
- Ana $22.000
- Sueldos $381188</t>
      </text>
    </comment>
    <comment ref="H27" authorId="12" shapeId="0" xr:uid="{C15A4C89-E5E7-41EF-8901-468762F2993A}">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LUNES:
Churros $9.000
Sandwiches $12.600
Lorsani $281.632
Vale sin tacc $41.500
Adelanto Pato $20000
Adelanto y aguinaldo Mati $330000</t>
      </text>
    </comment>
    <comment ref="H29" authorId="13" shapeId="0" xr:uid="{A3C0A90F-F9CD-4E64-88AF-1211CE1D37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GASTOS DE MARTES:
- Churros $9.000
- Sandwiches $13.000
- Vale $19.000
- Cangiano $68.498
- Lorsani $256.356
- Cookies sin tacc $90.000
- Andrea $8.000
</t>
      </text>
    </comment>
    <comment ref="H31" authorId="14" shapeId="0" xr:uid="{8FED145B-665E-417D-8B9C-D6F1D8E16C36}">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MIERCOLES:
Churros $9.000
Sandwiches $9600
Lorsani $253.502,89
Cangiano: $59.240,51</t>
      </text>
    </comment>
    <comment ref="H33" authorId="15" shapeId="0" xr:uid="{4C51B3CD-DEF4-4B88-B340-D29B26A8BE53}">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JUEVES:
Churros $9.000
Valeria: $73.000
Lorsani $203.666,07
Cangiano: $21.039,48
Descartables: $72.240
Fécula: $295.857,54 (pago efectivo)
Pana budínes: $23400
Adelanto Sofia $30.000
Adelanto Paula $80.000</t>
      </text>
    </comment>
    <comment ref="H35" authorId="16" shapeId="0" xr:uid="{2E4BEEEF-80EA-4058-83DD-5739B37DF78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VIERNES
Churros $9.000
Sándwichs: $ 11400
Lorsani $191572
Cangiano: $39204
Cookies ohmy: $268100
Vale $46.000
Solgraf $27.200
Adelanto Pato $15.000
Adelanto Lauti $30.000</t>
      </text>
    </comment>
    <comment ref="H37" authorId="17" shapeId="0" xr:uid="{57EA0D94-51B0-499C-A8D7-55C885355B31}">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SABADO
- Churros $4.500
- Adelanto Sofia $50.000</t>
      </text>
    </comment>
    <comment ref="H39" authorId="18" shapeId="0" xr:uid="{CAA0D15E-FA99-49C8-AD49-0D5FE6A23746}">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LUNES
Churros $9.000
Sándwichs: $ 12.600
Lorsani: $174.815,45
Cangiano:  $21.039,48</t>
      </text>
    </comment>
    <comment ref="H41" authorId="19" shapeId="0" xr:uid="{9D583F36-5AC8-403D-B8AA-BFB3AACC4722}">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MARTES:
- Lorsani: $330.575
- Valeria sin tacc: $38.500
- Cangiano $70.061
- Adelanto Sofia $30.000
- Adelanto Paula $85.000</t>
      </text>
    </comment>
    <comment ref="H43" authorId="20" shapeId="0" xr:uid="{38EE5ECB-4076-4D62-B0FE-408EE5176E85}">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MIÉRCOLES:
- Churros $9.000
- Ailin $87.500
- Cangiano $64.600
- Lorsani $21.303
- Adelanto Lau:  $25.000
- Adelanto Sofi : $15.000</t>
      </text>
    </comment>
    <comment ref="H45" authorId="21" shapeId="0" xr:uid="{24974FFF-82F0-4BFF-A888-E7C7C59AB810}">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JUEVES:
- Churros $9.000
- Valeria s.t $65.500
- sandwichs $21900
- Lorsani $331.615
- Descartables $67.880
- Adelanto Matias $10.000</t>
      </text>
    </comment>
    <comment ref="H47" authorId="22" shapeId="0" xr:uid="{670A7D9D-DE51-41CF-A35B-B0400998601C}">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 Lorsani $267.844,07
- Cangiano $67.746,51
- Churros $9.000
- Valeria s.t $58.000
- cookies omc $300.100
- Adelanto Sofia $10.000</t>
      </text>
    </comment>
    <comment ref="H49" authorId="23" shapeId="0" xr:uid="{D7EFB7FF-A148-4C15-B7C6-BF107C852AD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SÁBADO:
- Churros $4500
- Sueldos $528000</t>
      </text>
    </comment>
    <comment ref="H53" authorId="24" shapeId="0" xr:uid="{FDF9765D-517F-43AA-839D-E2688896317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MARTES
- LORSANI $197.075,62
- CANGIANO $80.279,99
- SANDWICH $18.600
- CHURROS $9.000
- FÉCULA $147.929
- ADELANTO SOFI $60.000
- LUZ $ 480.000 ($200000 se pusieron el viernes a la tarde)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tc={6DCC5DAA-A7FB-4B2B-9954-65C075A59EB4}</author>
    <author>tc={05E6F3B4-CE4F-4692-8A54-73616EB77A6A}</author>
    <author>tc={BA1A4E51-3E84-4D4E-B8CC-BA23DCCF45B3}</author>
    <author>tc={D857A3FC-C79F-4EDB-AD04-4AB01F234CC1}</author>
    <author>tc={C073FEAE-E80E-44D5-993D-E52B48BD8C51}</author>
    <author>tc={99B3B63C-800F-416C-BCB8-0FBB25FF36B6}</author>
    <author>tc={8734CB29-94E7-4713-968C-71B52C316377}</author>
    <author>tc={FD5AFE1A-A001-461C-AFBD-8E41C887AAB8}</author>
    <author>tc={12323930-3F9D-4825-B2B2-EEA8DB48D154}</author>
    <author>tc={35FE1BCA-8C6A-433D-A3BF-D3F5173B87B9}</author>
    <author>tc={ABC5B363-809D-40C7-8F02-786058961935}</author>
    <author>tc={1EF09BB6-7B8A-4AE6-9B09-C7F8C6055CC7}</author>
    <author>tc={EECA3873-038D-457F-859C-6B103F6008D4}</author>
    <author>tc={122407AC-B6EB-48B5-9C6F-32D305F48F4F}</author>
    <author>tc={F2C172FF-B44E-42B3-98F3-078151CD18AF}</author>
    <author>tc={AA337846-106D-4AB0-9E28-AF2244BC477E}</author>
    <author>tc={DECEC5B4-035C-4497-AFA0-6C194AD155E4}</author>
    <author>tc={0C838C30-7B10-4CF2-83A6-28B1D32D8625}</author>
    <author>tc={EB5DE79D-5ADC-4356-A7C9-31292C669ADF}</author>
    <author>tc={12D34F2F-B5CF-4212-B9AD-77A02F96654C}</author>
    <author>tc={C12434DA-17BD-4C8F-A0C1-B9361F0B5AF6}</author>
    <author>tc={20415E06-5168-4BFD-BE1A-A42AE2DF0132}</author>
    <author>tc={E3559000-23A1-4D6D-930D-04C01F3533A5}</author>
    <author>tc={65ADD9A0-D41E-4FD7-96DD-312307E7FB28}</author>
    <author>tc={A21F6821-DB87-4DB4-9687-04C2FAFFA8C1}</author>
    <author>tc={C89A9697-D2E4-421B-A14C-2C6864D65889}</author>
  </authors>
  <commentList>
    <comment ref="H3" authorId="0" shapeId="0" xr:uid="{6DCC5DAA-A7FB-4B2B-9954-65C075A59EB4}">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MIÉRCOLES:
- Churros $9.000
- Lorsani $298.448
- Vale sin gluten $71.100
- Cookies sin tacc $87.500
- Chaboux $65.000
- Adelanto Pauli $10.000
- Andrea $10.000</t>
      </text>
    </comment>
    <comment ref="H5" authorId="1" shapeId="0" xr:uid="{05E6F3B4-CE4F-4692-8A54-73616EB77A6A}">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JUEVES:
- Churros $10.000
- Lorsani $283.568
- ⁠Cangiano $68.084,28
- Descartables $55.140
- pana $37.400
- gráfica $15.100
- Adelanto Sofi $80.000 (para la prox quincena)
- Andrea $8.000
- Fecula $296.000</t>
      </text>
    </comment>
    <comment ref="H7" authorId="2" shapeId="0" xr:uid="{BA1A4E51-3E84-4D4E-B8CC-BA23DCCF45B3}">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 LORSANI $242.459,7
- churros $10.000
- sandwichs $21.300
- Cangiano $43.124,40
- Adelanto Aguinaldo Pato $218.250</t>
      </text>
    </comment>
    <comment ref="H9" authorId="3" shapeId="0" xr:uid="{D857A3FC-C79F-4EDB-AD04-4AB01F234CC1}">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SÁBADO:
- Churros $4.500
- Adelanto Sofia $25.000
- Adelanto $20.000
- Ana $8.000
- Desinfección $26.000</t>
      </text>
    </comment>
    <comment ref="H11" authorId="4" shapeId="0" xr:uid="{C073FEAE-E80E-44D5-993D-E52B48BD8C51}">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LUNES:
- Lorsani $298.953
- Churros $10.000
- Sandwich $13.500
- Vale sin tacc $38.500
- Cangiano $74353
- Adelanto Pato $1717
- Adelanto Sofi $3941</t>
      </text>
    </comment>
    <comment ref="H13" authorId="5" shapeId="0" xr:uid="{99B3B63C-800F-416C-BCB8-0FBB25FF36B6}">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MARTES 
- Lorsani $156.262,49
- Churros $10.000
- Gastos Municipales $40.000
- Cookies Gio $305.10
- La Pana $37.400
- Cookies sin tacc $90.000</t>
      </text>
    </comment>
    <comment ref="H15" authorId="6" shapeId="0" xr:uid="{8734CB29-94E7-4713-968C-71B52C316377}">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MIÉRCOLES 
- LORSANI $180.179,73
- Sandwichs $16.900
- Churros $10.000
- Cangiano $91.660,04
- angeleri $295.856
- Adelanto Sofi $5.000</t>
      </text>
    </comment>
    <comment ref="H17" authorId="7" shapeId="0" xr:uid="{FD5AFE1A-A001-461C-AFBD-8E41C887AAB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JUEVES 
- Lorsani $325.514,49
- Churros $10.000
- Descsetables $42320
- Vale sin tacc $53.500
- Bebidas $123.500
- Adelanto Matias $30.000
- Adelanto Paula $160.000
- Adelanto Sofi $5.000</t>
      </text>
    </comment>
    <comment ref="H21" authorId="8" shapeId="0" xr:uid="{12323930-3F9D-4825-B2B2-EEA8DB48D154}">
      <text>
        <t>[Comentario encadenado]
Su versión de Excel le permite leer este comentario encadenado; sin embargo, las ediciones que se apliquen se quitarán si el archivo se abre en una versión más reciente de Excel. Más información: https://go.microsoft.com/fwlink/?linkid=870924
Comentario:
    -Curros 5000
- Sueldos Paula, Sofi y Mati 343966</t>
      </text>
    </comment>
    <comment ref="H23" authorId="9" shapeId="0" xr:uid="{35FE1BCA-8C6A-433D-A3BF-D3F5173B87B9}">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LUNES:
- Churros $10.000
- Lorsani $305.689
- Sándwiches $18.600
- Cangiano $68.716
- Sellado defensa al consumidor $6.800
- Adelanto Sofia $50.000
- Vidrio $109.000</t>
      </text>
    </comment>
    <comment ref="H25" authorId="10" shapeId="0" xr:uid="{ABC5B363-809D-40C7-8F02-786058961935}">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MARTES 
* Lorsani: $324.561,84
* Vale sin tacc: $65.700
* Churros: $10.000
* Cangiano: $43.124,40
- Adelanto Mati $70.000
- Adelanto Pauli $26.000</t>
      </text>
    </comment>
    <comment ref="H27" authorId="11" shapeId="0" xr:uid="{1EF09BB6-7B8A-4AE6-9B09-C7F8C6055CC7}">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DIS MIÉRCOLES 
- Lorsani $302.730,15
- Churros $10.000
- Cangiano $21.039,48
- Sandwiches $18.600
- Cookies sin tacc $90.000</t>
      </text>
    </comment>
    <comment ref="H29" authorId="12" shapeId="0" xr:uid="{EECA3873-038D-457F-859C-6B103F6008D4}">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JUEVES 
- Lorsani $170,669.82
- Churros $7500
- Pana $37.400
- Cangiano $44.894.03
- Descartables $59.100
- Adelanto Paula $50.000</t>
      </text>
    </comment>
    <comment ref="H31" authorId="13" shapeId="0" xr:uid="{122407AC-B6EB-48B5-9C6F-32D305F48F4F}">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 Lorsani $171,182.88
- Churros $10,000
- Cangiano $46,972.93
- Sandwiches $14,100
- Valeria sin tacc $82.000
- San Luis a mil $19.500
- Gas $3.950
- Arca $49.500
- Vero $15.000
- Cookie Gio $306.500
- Adelanto Lauti $30.000
- Andrea $32.000</t>
      </text>
    </comment>
    <comment ref="H33" authorId="14" shapeId="0" xr:uid="{F2C172FF-B44E-42B3-98F3-078151CD18AF}">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SABADO:
- Adelanto Paula $35.000
- Churros $5.000</t>
      </text>
    </comment>
    <comment ref="H35" authorId="15" shapeId="0" xr:uid="{AA337846-106D-4AB0-9E28-AF2244BC477E}">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LUNES:
• churros $10,000
• Sandwichs $10,000
- Lorsani $278.402,61
- Cangiano $43.124,40
- Vale $40.500</t>
      </text>
    </comment>
    <comment ref="H37" authorId="16" shapeId="0" xr:uid="{DECEC5B4-035C-4497-AFA0-6C194AD155E4}">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MARTES
- Lorsani $206.770,29
- Cangiano $66.565,13
- Churros $5000
- Sandwichs $15,600</t>
      </text>
    </comment>
    <comment ref="H39" authorId="17" shapeId="0" xr:uid="{0C838C30-7B10-4CF2-83A6-28B1D32D8625}">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MIERCOLES
- Sandwichs $13,800
- Lorsani $191.286,19
- Churros $5.000
- Vale $75.000
- Adelanto Paula $75.000</t>
      </text>
    </comment>
    <comment ref="H41" authorId="18" shapeId="0" xr:uid="{EB5DE79D-5ADC-4356-A7C9-31292C669ADF}">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JUEVES 
- LORSANI $195,279.45
- CHURROS $5.000
- CANGIANO $64.163,88
- DESCARTABLES $64.370
- COOKIES $90.000
- ADELANTO PATO $10.000
- ADELANTO SOFIA $5.000
- FECULA $280.000</t>
      </text>
    </comment>
    <comment ref="H43" authorId="19" shapeId="0" xr:uid="{12D34F2F-B5CF-4212-B9AD-77A02F96654C}">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 CANGIANO $43.756.02
- LORSANI $255.428,51
- Oh my cookie $169.400
- Sándwiches $9,800
- Pana $37,400
- Sueldo Paula $39,071
- Sueldo Sofi $69,200
- Vale $20,500</t>
      </text>
    </comment>
    <comment ref="H45" authorId="20" shapeId="0" xr:uid="{C12434DA-17BD-4C8F-A0C1-B9361F0B5AF6}">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SÁBADO:
- Churros $5.000
- Sueldos Matias, Lautaro y Pato</t>
      </text>
    </comment>
    <comment ref="H47" authorId="21" shapeId="0" xr:uid="{20415E06-5168-4BFD-BE1A-A42AE2DF0132}">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LUNES
* Churros: $10.000
* CANGIANO $30.649,91
* Lorsani $217.220,92
* Sándwich $17.600
* Vale $69.000
* Gráfica $13.000
* Deudores alimentarios morosos $2.700
* Luz $443.241,40
* Rentas Crédito $138.000</t>
      </text>
    </comment>
    <comment ref="H49" authorId="22" shapeId="0" xr:uid="{E3559000-23A1-4D6D-930D-04C01F3533A5}">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MARTES:
- Churros $10.000
- Valeria $58.000
- Margarina $20.800
- Cangiano $59.240,51
- Ingresos Brutos $223.000
- Lorsani $330.093
- Ailin $60.000</t>
      </text>
    </comment>
    <comment ref="H51" authorId="23" shapeId="0" xr:uid="{65ADD9A0-D41E-4FD7-96DD-312307E7FB2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MIERCOLES:
- Valeria $81.000
- Lorsani $233.348,36
- Churros $10.000
- Cangiano $70.017
- La Pana $37.400
- Adelanto Paula $30.000
- Solgraf $12.200</t>
      </text>
    </comment>
    <comment ref="H53" authorId="24" shapeId="0" xr:uid="{A21F6821-DB87-4DB4-9687-04C2FAFFA8C1}">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JUEVES
- Lorsani $243.143,23
- Churros $5.000
- Descartables $99.600
- Adelanto Sofia $75.000
- Vale sin tacc $68.500</t>
      </text>
    </comment>
    <comment ref="H55" authorId="25" shapeId="0" xr:uid="{C89A9697-D2E4-421B-A14C-2C6864D65889}">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 LORSANI $141,623.42
- churros $5,000
- Cangiano $94.386,41
- ohmycookie $191,000
- Vale $92.000</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tc={C654F157-B415-49C5-A483-8542EEAF7556}</author>
    <author>tc={791550D5-C89B-4923-906B-4A66A02CB547}</author>
    <author>tc={E904CF91-74C6-4751-A955-232BC9FCCE03}</author>
    <author>tc={D093D751-31B5-4EAD-9203-25F111DC5DB1}</author>
    <author>tc={08B1DD43-F7CB-464E-8B6A-FF96128F067A}</author>
    <author>tc={80948545-87A8-4ED0-8D2D-F022AA128C86}</author>
    <author>tc={BC120464-E504-4B68-96F3-ED8A0AEC7944}</author>
    <author>tc={44078532-BB84-4D28-A3F5-22565FD0D225}</author>
    <author>tc={DCEE6E74-F58F-4D64-AAF6-7C8C527EE8B2}</author>
    <author>tc={CD4118AC-B8D2-4BDD-A996-D7582C0C4CAF}</author>
    <author>tc={3555F5DF-BEB9-4BE6-AC00-B9F43FD6EE23}</author>
    <author>tc={CCBD1841-8FD0-4415-A99F-CBE69B822A3B}</author>
    <author>tc={E1EA467F-69AA-471C-942D-F141E41BA588}</author>
    <author>tc={3479EFA3-2390-4C7B-BAAB-A65D026C70AE}</author>
    <author>tc={ECDC721B-2722-41AD-A1B7-1E11D070C623}</author>
    <author>tc={12A8A3B5-CE18-41E4-A38E-309167201A02}</author>
    <author>tc={3025B38F-D398-4B6C-9DB2-6F053CCD60DC}</author>
    <author>tc={F624E1AC-54FF-4F6B-A08F-8EF6E576D0CC}</author>
    <author>tc={385D83C6-A911-4A6A-A7BA-539B2C67283C}</author>
    <author>tc={C77FA881-78B5-4652-97E5-F3BC16DAA67D}</author>
    <author>tc={7BFF6A0C-EE32-4B21-9E7E-509E247EE032}</author>
    <author>tc={EB723979-3F93-494D-869C-723494688A81}</author>
    <author>tc={48CB1CD1-BFD7-416A-9AF9-CD4BBCF93C56}</author>
    <author>tc={89FC7725-9120-4EDE-94AA-1AAB02F0615F}</author>
  </authors>
  <commentList>
    <comment ref="H3" authorId="0" shapeId="0" xr:uid="{C654F157-B415-49C5-A483-8542EEAF7556}">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DEL SABADO:
- Adelanto Sofi $30.000
- Adelanto Paula $75.000</t>
      </text>
    </comment>
    <comment ref="H5" authorId="1" shapeId="0" xr:uid="{791550D5-C89B-4923-906B-4A66A02CB547}">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LUNES
- Lorsani $239.660,87
- Churros $5.000
- Adelanto Paula $10.000</t>
      </text>
    </comment>
    <comment ref="H7" authorId="2" shapeId="0" xr:uid="{E904CF91-74C6-4751-A955-232BC9FCCE03}">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MARTES 
- Cangiano $64.163,88
- Churros $5.000
- Lorsani $182.963,5
- Sandwichs $18.600
- Vale sin tacc $54,500
- Pana $37,400
- Adelanto Paula $40.000</t>
      </text>
    </comment>
    <comment ref="H9" authorId="3" shapeId="0" xr:uid="{D093D751-31B5-4EAD-9203-25F111DC5DB1}">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MIÉRCOLES 
- CHURROS $10.000
- LORSANI $ 244.078,49
- AILIN $60.000</t>
      </text>
    </comment>
    <comment ref="H11" authorId="4" shapeId="0" xr:uid="{08B1DD43-F7CB-464E-8B6A-FF96128F067A}">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JUEVES
- VALE $48.000
- LORSANI $213.124,44
- CANGIANO $81.993,93
- DESCARTABLES $96.990</t>
      </text>
    </comment>
    <comment ref="H13" authorId="5" shapeId="0" xr:uid="{80948545-87A8-4ED0-8D2D-F022AA128C86}">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 LORSANI $159.470,58
- churros $5.000
- Valeria st $41.500
- Oh my cookies $91.400
- Sueldo Sofi $83.375
- Sueldo Patito $ 204.275
- Alquiler $630.000
- Andrea $9000
- Ana $8000</t>
      </text>
    </comment>
    <comment ref="H15" authorId="6" shapeId="0" xr:uid="{BC120464-E504-4B68-96F3-ED8A0AEC7944}">
      <text>
        <t>[Comentario encadenado]
Su versión de Excel le permite leer este comentario encadenado; sin embargo, las ediciones que se apliquen se quitarán si el archivo se abre en una versión más reciente de Excel. Más información: https://go.microsoft.com/fwlink/?linkid=870924
Comentario:
    Sueldos 
Paula, Lauti y Mati $506.548</t>
      </text>
    </comment>
    <comment ref="H17" authorId="7" shapeId="0" xr:uid="{44078532-BB84-4D28-A3F5-22565FD0D225}">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LUNES
- LORSANI $409,641.39
- churros $5.000
- Cangiano $62,013.11
- Vale St $67,500
- Sándwiches $18,600
- Adelanto Sofia $90.000
- Adelanto Lautaro $30.000
- Adelanto Paula $90.000</t>
      </text>
    </comment>
    <comment ref="H19" authorId="8" shapeId="0" xr:uid="{DCEE6E74-F58F-4D64-AAF6-7C8C527EE8B2}">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MARTES
- LORSANI $116.889,58
- CHURROS $5.000
- CANGIANO $8.385,30
- Libreta Sanitaria $56.000</t>
      </text>
    </comment>
    <comment ref="H21" authorId="9" shapeId="0" xr:uid="{CD4118AC-B8D2-4BDD-A996-D7582C0C4CAF}">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MIÉRCOLES 
- CHURROS $5000
- CANGIANO $60.243,48
- SANDWICHES $15.600
- VALE ST $40.500
- LORSANI $297.444
- PANA $37.400
- AILIN $60.000</t>
      </text>
    </comment>
    <comment ref="H23" authorId="10" shapeId="0" xr:uid="{3555F5DF-BEB9-4BE6-AC00-B9F43FD6EE23}">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JUEVES 
LORSANI: $267,267.43
CHURROS: $5000
DESCARTABLES: $115.930
CANGIANO: $43.124,40
VALE ST $76.000
ADELANTO SOFIA $10.000
ADELANTO PAULA $5.000</t>
      </text>
    </comment>
    <comment ref="H25" authorId="11" shapeId="0" xr:uid="{CCBD1841-8FD0-4415-A99F-CBE69B822A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LORSANI: $144.211,78
Oh My Cookies: $132.600
CANGIANO: $21.039,48
ANDREA $18.000
Adelanto Sofi $50.000
</t>
      </text>
    </comment>
    <comment ref="H27" authorId="12" shapeId="0" xr:uid="{E1EA467F-69AA-471C-942D-F141E41BA58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SÁBADO:
- CHURROS $5.000
- ADELANTO PAULA $10.000
- ADELANTO MATIAS $100.000</t>
      </text>
    </comment>
    <comment ref="H29" authorId="13" shapeId="0" xr:uid="{3479EFA3-2390-4C7B-BAAB-A65D026C70AE}">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LUNES
•LORZANI $208,175.79
- CANGIANO $47.044,80
- SANDWICHES $18,600
- ADELANTO PAULA $41000
- ADELANTO LAUTARO $60.000</t>
      </text>
    </comment>
    <comment ref="H31" authorId="14" shapeId="0" xr:uid="{ECDC721B-2722-41AD-A1B7-1E11D070C623}">
      <text>
        <t>[Comentario encadenado]
Su versión de Excel le permite leer este comentario encadenado; sin embargo, las ediciones que se apliquen se quitarán si el archivo se abre en una versión más reciente de Excel. Más información: https://go.microsoft.com/fwlink/?linkid=870924
Comentario:
    Vale $42500
Gráfica $22.000
Ensalada de Frutas $11.400</t>
      </text>
    </comment>
    <comment ref="H33" authorId="15" shapeId="0" xr:uid="{12A8A3B5-CE18-41E4-A38E-309167201A02}">
      <text>
        <t>[Comentario encadenado]
Su versión de Excel le permite leer este comentario encadenado; sin embargo, las ediciones que se apliquen se quitarán si el archivo se abre en una versión más reciente de Excel. Más información: https://go.microsoft.com/fwlink/?linkid=870924
Comentario:
    Sandwiches $15100
Cangiano $ 70485
Lorsani $ 202.343</t>
      </text>
    </comment>
    <comment ref="H35" authorId="16" shapeId="0" xr:uid="{3025B38F-D398-4B6C-9DB2-6F053CCD60D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Lorsani 148205
Descartables 49430
</t>
      </text>
    </comment>
    <comment ref="H37" authorId="17" shapeId="0" xr:uid="{F624E1AC-54FF-4F6B-A08F-8EF6E576D0CC}">
      <text>
        <t>[Comentario encadenado]
Su versión de Excel le permite leer este comentario encadenado; sin embargo, las ediciones que se apliquen se quitarán si el archivo se abre en una versión más reciente de Excel. Más información: https://go.microsoft.com/fwlink/?linkid=870924
Comentario:
    Vale $39500
Lorsani $85774
Sandwiches $12100
Lorsani x 2 $41998
Ensalada de frutas $7600</t>
      </text>
    </comment>
    <comment ref="H39" authorId="18" shapeId="0" xr:uid="{385D83C6-A911-4A6A-A7BA-539B2C6728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Cangiano 27440
Aire acondicionado $80000
Sueldos $753000
</t>
      </text>
    </comment>
    <comment ref="H43" authorId="19" shapeId="0" xr:uid="{C77FA881-78B5-4652-97E5-F3BC16DAA67D}">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MARTES 
- Lorsani $239.444,92
- Sandwichs $14.100
- CANGIANO $64.795.50
- oh my cookie $148.200</t>
      </text>
    </comment>
    <comment ref="H45" authorId="20" shapeId="0" xr:uid="{7BFF6A0C-EE32-4B21-9E7E-509E247EE032}">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MIÉRCOLES 
- Lorsani $267.795.85
- Ensaladas de frutas: $7600
- La pana: $29.600
- Adelanto Paula $5.000
- Cookies sin tacc $30.000
- Vale st $43.500</t>
      </text>
    </comment>
    <comment ref="H47" authorId="21" shapeId="0" xr:uid="{EB723979-3F93-494D-869C-723494688A81}">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DÍA JUEVES 
- LORSANI $232,106.01
- CANGIANO $60.766.18
- VALE $70.000
- SANDWICH $14,100
- DESCARTABLES $7.540</t>
      </text>
    </comment>
    <comment ref="H49" authorId="22" shapeId="0" xr:uid="{48CB1CD1-BFD7-416A-9AF9-CD4BBCF93C56}">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 LORSANI $188.107,82
- CANGIANO $62.723.73</t>
      </text>
    </comment>
    <comment ref="H51" authorId="23" shapeId="0" xr:uid="{89FC7725-9120-4EDE-94AA-1AAB02F0615F}">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SABADO
- VALE $41.500</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tc={AABC5CBE-C179-4B1A-947C-4161463ACD19}</author>
    <author>tc={BF51AF33-AFFC-4836-9344-81C55FC162EB}</author>
    <author>tc={1B9F2FB3-B1D1-418D-8DAA-AC683F9F2437}</author>
    <author>tc={D3145260-9C3E-4F2E-B5E0-0CAB62D015C4}</author>
    <author>tc={8E06A78F-9348-4D3D-9BCE-ED52AFFE8EEF}</author>
    <author>tc={12CC7D81-B11C-45ED-9831-48357E66F9C5}</author>
    <author>tc={32A97CBB-9204-42C1-9F76-50E97EF88FE8}</author>
    <author>tc={3AB720A1-C280-4561-9D19-ED53D8654B06}</author>
    <author>tc={4417FC28-341E-49D8-8E63-B9285CEA69B4}</author>
    <author>tc={9326AFB0-FF57-47C2-850E-43FF62244696}</author>
    <author>tc={886EC3DA-D421-4F9A-96DA-5639AE2E6610}</author>
    <author>tc={6E91DD53-768C-4475-8054-F78B72543E14}</author>
    <author>tc={705EE3C9-1ADE-4DAC-9FA9-79814BA09D1F}</author>
    <author>tc={E9F07DAC-9858-4B53-9284-294446C67B1C}</author>
    <author>tc={D24282AC-0A04-4AAC-B380-F54F2414E133}</author>
    <author>tc={13C81811-BA4B-416A-892B-2BAC3418167E}</author>
    <author>tc={1A1CD913-99F3-413F-BD0B-43FC4086ABA5}</author>
    <author>tc={E553F86B-E695-43AC-8D6A-C8566286C8AB}</author>
    <author>tc={F2A67E48-166C-4DE8-B40A-F402B7E834E6}</author>
    <author>tc={FDC96C37-CDEF-4BE8-8D63-2D5AD10A1358}</author>
    <author>tc={0A4B28B0-00C6-46EE-9545-94B2E7102D88}</author>
    <author>tc={46A0293D-3A74-4B0E-B75E-E44B8A7C5D73}</author>
    <author>tc={4237E252-4633-4D70-A1FA-0075E645C7F7}</author>
  </authors>
  <commentList>
    <comment ref="H3" authorId="0" shapeId="0" xr:uid="{AABC5CBE-C179-4B1A-947C-4161463ACD19}">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LUNES
- LORSANI $205.294,83
- CANGIANO $36.269,13
- ADELANTO LAUTI $5.000
- ADELANTO SOFI $10.000</t>
      </text>
    </comment>
    <comment ref="H5" authorId="1" shapeId="0" xr:uid="{BF51AF33-AFFC-4836-9344-81C55FC162EB}">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MARTES 
- CANGIANO $52.998,00
- LORSANI $170.724,53
- SÁNDWICH $14,400
- COOKIES SIN TACC $30.000
- SAN LUIS A MIL (noviembre y diciembre) $39.000
- ARCA noviembre $49.500
- ⁠Ensaladas de fruta $7600
- Vero Rosales (noviembre y diciembre) $30.000
- PANA: $29.600
- GRAFICA $35.500
- VALE SIN TACC $100,500</t>
      </text>
    </comment>
    <comment ref="H7" authorId="2" shapeId="0" xr:uid="{1B9F2FB3-B1D1-418D-8DAA-AC683F9F2437}">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MIÉRCOLES 
- LORSANI $134,815.57</t>
      </text>
    </comment>
    <comment ref="H9" authorId="3" shapeId="0" xr:uid="{D3145260-9C3E-4F2E-B5E0-0CAB62D015C4}">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JUEVES
- LORSANI : $435,151.83
- ⁠Ensaladas de Fruta $7600
- Sandwich $18600
- CANGIANO $92.758,33
- Valeria $62600
- Descartables $68.220
- Adelanto Sofia $20.000</t>
      </text>
    </comment>
    <comment ref="H11" authorId="4" shapeId="0" xr:uid="{8E06A78F-9348-4D3D-9BCE-ED52AFFE8EEF}">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 LORSANI: $274.928,26
- DESCARTABLES: $44.380
- CANGIANO: $88.241,65
- SANDWICHES $27.500
- SUPER: $75.050
- SUPER $160.000
- GRAFICA $34.400
- ADELANTO PAULA $5.000
- COOKIES GIO $156.200/105.600 
- PINES $36.000
- BUDINES SIN TACC $26.950
- LA PANA $69.600</t>
      </text>
    </comment>
    <comment ref="H13" authorId="5" shapeId="0" xr:uid="{12CC7D81-B11C-45ED-9831-48357E66F9C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Sueldos 1030953
</t>
      </text>
    </comment>
    <comment ref="H17" authorId="6" shapeId="0" xr:uid="{32A97CBB-9204-42C1-9F76-50E97EF88FE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MARTES 
- LORSANI $45.580,85</t>
      </text>
    </comment>
    <comment ref="H19" authorId="7" shapeId="0" xr:uid="{3AB720A1-C280-4561-9D19-ED53D8654B06}">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MIÉRCOLES 
- SANDWICHES $15,000
- LORSANI: $268,954.33
- COOKIES SIN TACC $35,400
- CANGIANO $47.044,80</t>
      </text>
    </comment>
    <comment ref="H21" authorId="8" shapeId="0" xr:uid="{4417FC28-341E-49D8-8E63-B9285CEA69B4}">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DÍA JUEVES
- LORSANI $211.371,34
- ENS FRUTAS $7.600
- ADORN. NAV S.R $4.000
- BARBARELLA $30,250
- CANGIANO $23.331,81
- DESCARTABLES $62.710
- GAS $6.600
- LUZ $513.000
-Alquiler $630.000</t>
      </text>
    </comment>
    <comment ref="H23" authorId="9" shapeId="0" xr:uid="{9326AFB0-FF57-47C2-850E-43FF62244696}">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 Sándwich $12,800
- Cookies $77,700
- LORSANI $141,534.03
- Ens. Frutas $7.600
- Pan dulces $9.200
-Angeleri 285000</t>
      </text>
    </comment>
    <comment ref="H25" authorId="10" shapeId="0" xr:uid="{886EC3DA-D421-4F9A-96DA-5639AE2E6610}">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SÁBADO:
- Ana $8.000
- Desinfección $27.000
- Nova (Area medica protegida) $40.000</t>
      </text>
    </comment>
    <comment ref="H27" authorId="11" shapeId="0" xr:uid="{6E91DD53-768C-4475-8054-F78B72543E14}">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DÍA LUNES
- LORSANI $245,662.98
- CANGIANO $70.376,61
- Sandwiches $16500</t>
      </text>
    </comment>
    <comment ref="H29" authorId="12" shapeId="0" xr:uid="{705EE3C9-1ADE-4DAC-9FA9-79814BA09D1F}">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MARTES 
- LORSANI $278,231.96
- Coca $49,390
- Sandwich $14,600
- Fecula $146,618.76</t>
      </text>
    </comment>
    <comment ref="H31" authorId="13" shapeId="0" xr:uid="{E9F07DAC-9858-4B53-9284-294446C67B1C}">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DÍA MIÉRCOLES 
- LORSANI: $159.183,86
- CANGIANO: $72,255.13
- AILIN SIN TACC: $89.900
- VERO $15.000
- ADELANTO PAULA $14.000
- ADELANTO MATIAS $10.000
- ADELANTO LAUTARO $40.000
- ANDREA $15.000</t>
      </text>
    </comment>
    <comment ref="H33" authorId="14" shapeId="0" xr:uid="{D24282AC-0A04-4AAC-B380-F54F2414E133}">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JUEVES
- LORSANI $245.014,12
- ⁠CANGEANO $39.204
- DESCARTABLES $46.780</t>
      </text>
    </comment>
    <comment ref="H35" authorId="15" shapeId="0" xr:uid="{13C81811-BA4B-416A-892B-2BAC3418167E}">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VIERNES 
- VALE $39.000
- LORSANI $198.773,01
- ENS. FRUTAS $11.400
- PAN DULCE $6.200
- CANGIANO $27.252.21
- Coca Cola $38.900</t>
      </text>
    </comment>
    <comment ref="H39" authorId="16" shapeId="0" xr:uid="{1A1CD913-99F3-413F-BD0B-43FC4086ABA5}">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LUNES
- LORSANI $203,018.63
- CANGIANO $52.228,44
- Sándwiches $16.800
- Valen ST $39.500
- Pana $29600
- ⁠Ensaladas $7600
- ⁠Pan dulces $7100
- Box : $12.000
- Cookies y pan dulces sin tacc $104.600</t>
      </text>
    </comment>
    <comment ref="H41" authorId="17" shapeId="0" xr:uid="{E553F86B-E695-43AC-8D6A-C8566286C8AB}">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MARTES
- ⁠Pan dulces $14400
- Cookies $123.200
- Angeleri $145.000</t>
      </text>
    </comment>
    <comment ref="H43" authorId="18" shapeId="0" xr:uid="{F2A67E48-166C-4DE8-B40A-F402B7E834E6}">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MIÉRCOLES 
- Descartables $57.280
- Barbarella $40.400</t>
      </text>
    </comment>
    <comment ref="H47" authorId="19" shapeId="0" xr:uid="{FDC96C37-CDEF-4BE8-8D63-2D5AD10A135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VIERNES:
- Arca monotributo $50.000</t>
      </text>
    </comment>
    <comment ref="H51" authorId="20" shapeId="0" xr:uid="{0A4B28B0-00C6-46EE-9545-94B2E7102D88}">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DIA LUNES 
Lorsani $259,311.78
Cafe $22.240
Margarina $20.800
Cangiano $25.570.51</t>
      </text>
    </comment>
    <comment ref="H53" authorId="21" shapeId="0" xr:uid="{46A0293D-3A74-4B0E-B75E-E44B8A7C5D73}">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DE HOY MARTES:
- Vale $27.500
- sandwich $19.800
- Pan dulce s/t $28.500
- Lorsani $173.948.28
- La Pana $23.400
- ⁠Ensaladas $11400
- ⁠Pan dulces c/t $9300</t>
      </text>
    </comment>
    <comment ref="H55" authorId="22" shapeId="0" xr:uid="{4237E252-4633-4D70-A1FA-0075E645C7F7}">
      <text>
        <t>[Comentario encadenado]
Su versión de Excel le permite leer este comentario encadenado; sin embargo, las ediciones que se apliquen se quitarán si el archivo se abre en una versión más reciente de Excel. Más información: https://go.microsoft.com/fwlink/?linkid=870924
Comentario:
    Gastos miércoles:
Descartables: $11.080</t>
      </text>
    </comment>
  </commentList>
</comments>
</file>

<file path=xl/sharedStrings.xml><?xml version="1.0" encoding="utf-8"?>
<sst xmlns="http://schemas.openxmlformats.org/spreadsheetml/2006/main" count="1679" uniqueCount="75">
  <si>
    <t>fecha</t>
  </si>
  <si>
    <t>Turno</t>
  </si>
  <si>
    <t>Ingreso</t>
  </si>
  <si>
    <t>Ganancia</t>
  </si>
  <si>
    <t>Ingreso Diario</t>
  </si>
  <si>
    <t>Gasto Diario</t>
  </si>
  <si>
    <t>Ganancia Diaria</t>
  </si>
  <si>
    <t>Diaria</t>
  </si>
  <si>
    <t>Mañana</t>
  </si>
  <si>
    <t>Tarde</t>
  </si>
  <si>
    <t>Total</t>
  </si>
  <si>
    <t>Gasto</t>
  </si>
  <si>
    <t>Día</t>
  </si>
  <si>
    <t>Sabado</t>
  </si>
  <si>
    <t>Miercoles</t>
  </si>
  <si>
    <t>Jueves</t>
  </si>
  <si>
    <t>Viernes</t>
  </si>
  <si>
    <t>Lunes</t>
  </si>
  <si>
    <t>Martes</t>
  </si>
  <si>
    <t>Miércoles</t>
  </si>
  <si>
    <t xml:space="preserve">                       </t>
  </si>
  <si>
    <t>Mayor venta</t>
  </si>
  <si>
    <t>Menor Venta</t>
  </si>
  <si>
    <t>1er semana</t>
  </si>
  <si>
    <t>2da semana</t>
  </si>
  <si>
    <t>3er semana</t>
  </si>
  <si>
    <t>4ta semana</t>
  </si>
  <si>
    <t>Agosto</t>
  </si>
  <si>
    <t>Mes</t>
  </si>
  <si>
    <t>Septiembre</t>
  </si>
  <si>
    <t>Octubre</t>
  </si>
  <si>
    <t>Noviembre</t>
  </si>
  <si>
    <t>Diciembre</t>
  </si>
  <si>
    <t>Porcentaje</t>
  </si>
  <si>
    <t>5ta semana</t>
  </si>
  <si>
    <t>tarde</t>
  </si>
  <si>
    <t>Promedio Venta</t>
  </si>
  <si>
    <t>Promedio Gasto</t>
  </si>
  <si>
    <t>Promedio Ganancia</t>
  </si>
  <si>
    <t>Navidad</t>
  </si>
  <si>
    <t>pago sueldos</t>
  </si>
  <si>
    <t>sabado normal</t>
  </si>
  <si>
    <t>alquiler</t>
  </si>
  <si>
    <t xml:space="preserve">      </t>
  </si>
  <si>
    <t>Promedio</t>
  </si>
  <si>
    <t>Enero</t>
  </si>
  <si>
    <t>Febrero</t>
  </si>
  <si>
    <t>Marzo</t>
  </si>
  <si>
    <t>Abril</t>
  </si>
  <si>
    <t>Mayo</t>
  </si>
  <si>
    <t>Junio</t>
  </si>
  <si>
    <t>Julio</t>
  </si>
  <si>
    <t>Pago Sueldos</t>
  </si>
  <si>
    <t>Feriado</t>
  </si>
  <si>
    <t>Paro univ.</t>
  </si>
  <si>
    <t>feriado viernes santo</t>
  </si>
  <si>
    <t>Feriado - Día empleado de Comercio</t>
  </si>
  <si>
    <t>Rangos Porcentaje</t>
  </si>
  <si>
    <t xml:space="preserve">Estado </t>
  </si>
  <si>
    <t>Color</t>
  </si>
  <si>
    <t>0 - 35 %</t>
  </si>
  <si>
    <t>35.1 - 39.5 %</t>
  </si>
  <si>
    <t>39.6 - 100%</t>
  </si>
  <si>
    <t>Malo</t>
  </si>
  <si>
    <t>Regular</t>
  </si>
  <si>
    <t>Bueno</t>
  </si>
  <si>
    <t>Cine
 Teatro</t>
  </si>
  <si>
    <t>Gasto Variable</t>
  </si>
  <si>
    <t>Gasto Fijo</t>
  </si>
  <si>
    <t>Gasto total</t>
  </si>
  <si>
    <t>Año nuevo</t>
  </si>
  <si>
    <t>Sueldo Xime</t>
  </si>
  <si>
    <t>Dia</t>
  </si>
  <si>
    <t>Monto</t>
  </si>
  <si>
    <t>Plata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</si>
</sst>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quot;;[Red]\-#,##0&quot;$&quot;"/>
    <numFmt numFmtId="165" formatCode="_-* #,##0.00&quot;$&quot;_-;\-* #,##0.00&quot;$&quot;_-;_-* &quot;-&quot;??&quot;$&quot;_-;_-@_-"/>
    <numFmt numFmtId="166" formatCode="#,##0&quot;$&quot;"/>
    <numFmt numFmtId="167" formatCode="0.0%"/>
    <numFmt numFmtId="168" formatCode="_-* #,##0&quot;$&quot;_-;\-* #,##0&quot;$&quot;_-;_-* &quot;-&quot;??&quot;$&quot;_-;_-@_-"/>
  </numFmts>
  <fonts count="10" x14ac:knownFonts="1">
    <font>
      <sz val="11"/>
      <color theme="1"/>
      <name val="Calibri"/>
      <family val="2"/>
      <scheme val="minor"/>
    </font>
    <font>
      <b/>
      <sz val="11"/>
      <color theme="0"/>
      <name val="Calibri"/>
      <family val="2"/>
      <scheme val="minor"/>
    </font>
    <font>
      <b/>
      <sz val="11"/>
      <color theme="1"/>
      <name val="Calibri"/>
      <family val="2"/>
      <scheme val="minor"/>
    </font>
    <font>
      <sz val="9"/>
      <color indexed="81"/>
      <name val="Tahoma"/>
      <family val="2"/>
    </font>
    <font>
      <b/>
      <sz val="9"/>
      <color indexed="81"/>
      <name val="Tahoma"/>
      <family val="2"/>
    </font>
    <font>
      <sz val="11"/>
      <color theme="1"/>
      <name val="Calibri"/>
      <family val="2"/>
      <scheme val="minor"/>
    </font>
    <font>
      <sz val="11"/>
      <name val="Calibri"/>
      <family val="2"/>
      <scheme val="minor"/>
    </font>
    <font>
      <b/>
      <sz val="11"/>
      <name val="Calibri"/>
      <family val="2"/>
      <scheme val="minor"/>
    </font>
    <font>
      <sz val="10"/>
      <color theme="1"/>
      <name val="Calibri"/>
      <family val="2"/>
      <scheme val="minor"/>
    </font>
    <font>
      <b/>
      <sz val="12"/>
      <color theme="1"/>
      <name val="Calibri"/>
      <family val="2"/>
      <scheme val="minor"/>
    </font>
  </fonts>
  <fills count="25">
    <fill>
      <patternFill patternType="none"/>
    </fill>
    <fill>
      <patternFill patternType="gray125"/>
    </fill>
    <fill>
      <patternFill patternType="solid">
        <fgColor theme="5" tint="0.59999389629810485"/>
        <bgColor indexed="64"/>
      </patternFill>
    </fill>
    <fill>
      <patternFill patternType="solid">
        <fgColor rgb="FF00B050"/>
        <bgColor indexed="64"/>
      </patternFill>
    </fill>
    <fill>
      <patternFill patternType="solid">
        <fgColor rgb="FFFF0000"/>
        <bgColor indexed="64"/>
      </patternFill>
    </fill>
    <fill>
      <patternFill patternType="solid">
        <fgColor rgb="FF00206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darkDown">
        <fgColor rgb="FFFF0000"/>
        <bgColor theme="0"/>
      </patternFill>
    </fill>
    <fill>
      <patternFill patternType="solid">
        <fgColor rgb="FFFFC000"/>
        <bgColor indexed="64"/>
      </patternFill>
    </fill>
    <fill>
      <patternFill patternType="solid">
        <fgColor theme="0"/>
        <bgColor rgb="FFFF0000"/>
      </patternFill>
    </fill>
    <fill>
      <patternFill patternType="solid">
        <fgColor theme="7" tint="0.79998168889431442"/>
        <bgColor indexed="64"/>
      </patternFill>
    </fill>
    <fill>
      <patternFill patternType="darkUp">
        <fgColor rgb="FFFF0000"/>
      </patternFill>
    </fill>
    <fill>
      <patternFill patternType="solid">
        <fgColor theme="4" tint="0.39997558519241921"/>
        <bgColor indexed="64"/>
      </patternFill>
    </fill>
    <fill>
      <patternFill patternType="lightDown">
        <fgColor rgb="FFFF0000"/>
        <bgColor auto="1"/>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249977111117893"/>
        <bgColor indexed="64"/>
      </patternFill>
    </fill>
    <fill>
      <patternFill patternType="solid">
        <fgColor theme="6" tint="-0.249977111117893"/>
        <bgColor rgb="FFFF0000"/>
      </patternFill>
    </fill>
    <fill>
      <patternFill patternType="solid">
        <fgColor theme="7" tint="0.39997558519241921"/>
        <bgColor indexed="64"/>
      </patternFill>
    </fill>
    <fill>
      <patternFill patternType="mediumGray">
        <fgColor rgb="FFFF0000"/>
      </patternFill>
    </fill>
    <fill>
      <patternFill patternType="darkDown">
        <fgColor rgb="FFFF0000"/>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s>
  <cellStyleXfs count="3">
    <xf numFmtId="0" fontId="0" fillId="0" borderId="0"/>
    <xf numFmtId="9" fontId="5" fillId="0" borderId="0" applyFont="0" applyFill="0" applyBorder="0" applyAlignment="0" applyProtection="0"/>
    <xf numFmtId="165" fontId="5" fillId="0" borderId="0" applyFont="0" applyFill="0" applyBorder="0" applyAlignment="0" applyProtection="0"/>
  </cellStyleXfs>
  <cellXfs count="393">
    <xf numFmtId="0" fontId="0" fillId="0" borderId="0" xfId="0"/>
    <xf numFmtId="0" fontId="0" fillId="0" borderId="0" xfId="0" applyAlignment="1">
      <alignment horizontal="center"/>
    </xf>
    <xf numFmtId="166" fontId="0" fillId="0" borderId="1" xfId="0" applyNumberFormat="1" applyBorder="1" applyAlignment="1">
      <alignment horizontal="center" vertical="center"/>
    </xf>
    <xf numFmtId="166" fontId="0" fillId="0" borderId="9" xfId="0" applyNumberFormat="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166" fontId="0" fillId="0" borderId="2" xfId="0" applyNumberFormat="1" applyBorder="1" applyAlignment="1">
      <alignment horizontal="center" vertical="center"/>
    </xf>
    <xf numFmtId="0" fontId="1" fillId="5" borderId="22" xfId="0" applyFont="1" applyFill="1" applyBorder="1" applyAlignment="1">
      <alignment horizontal="center" vertical="center"/>
    </xf>
    <xf numFmtId="0" fontId="2" fillId="3" borderId="20" xfId="0" applyFont="1" applyFill="1" applyBorder="1" applyAlignment="1">
      <alignment horizontal="center" vertical="center"/>
    </xf>
    <xf numFmtId="0" fontId="1" fillId="5" borderId="21" xfId="0" applyFont="1" applyFill="1" applyBorder="1" applyAlignment="1">
      <alignment horizontal="center" vertical="center"/>
    </xf>
    <xf numFmtId="166" fontId="0" fillId="0" borderId="12" xfId="0" applyNumberFormat="1" applyBorder="1" applyAlignment="1">
      <alignment horizontal="center" vertical="center"/>
    </xf>
    <xf numFmtId="166" fontId="0" fillId="0" borderId="3" xfId="0" applyNumberFormat="1" applyBorder="1" applyAlignment="1">
      <alignment horizontal="center" vertical="center"/>
    </xf>
    <xf numFmtId="9" fontId="0" fillId="0" borderId="1" xfId="0" applyNumberFormat="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167" fontId="2" fillId="6" borderId="1" xfId="0" applyNumberFormat="1" applyFont="1" applyFill="1" applyBorder="1" applyAlignment="1">
      <alignment horizontal="center" vertical="center"/>
    </xf>
    <xf numFmtId="167" fontId="0" fillId="0" borderId="1" xfId="1" applyNumberFormat="1" applyFont="1" applyBorder="1" applyAlignment="1">
      <alignment horizontal="center" vertical="center"/>
    </xf>
    <xf numFmtId="166" fontId="0" fillId="0" borderId="1" xfId="0" applyNumberFormat="1" applyBorder="1" applyAlignment="1">
      <alignment horizontal="center"/>
    </xf>
    <xf numFmtId="0" fontId="2" fillId="6" borderId="1" xfId="0" applyFont="1" applyFill="1" applyBorder="1" applyAlignment="1">
      <alignment horizontal="center" vertical="center"/>
    </xf>
    <xf numFmtId="0" fontId="2" fillId="8" borderId="1" xfId="0" applyFont="1" applyFill="1" applyBorder="1" applyAlignment="1">
      <alignment horizontal="center"/>
    </xf>
    <xf numFmtId="0" fontId="2" fillId="9" borderId="1" xfId="0" applyFont="1" applyFill="1" applyBorder="1" applyAlignment="1">
      <alignment horizontal="center"/>
    </xf>
    <xf numFmtId="166" fontId="0" fillId="0" borderId="24" xfId="0" applyNumberFormat="1" applyBorder="1" applyAlignment="1">
      <alignment horizontal="center" vertical="center"/>
    </xf>
    <xf numFmtId="166" fontId="0" fillId="0" borderId="25" xfId="0" applyNumberFormat="1" applyBorder="1" applyAlignment="1">
      <alignment horizontal="center" vertical="center"/>
    </xf>
    <xf numFmtId="166" fontId="2"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166" fontId="0" fillId="0" borderId="26" xfId="0" applyNumberFormat="1" applyBorder="1" applyAlignment="1">
      <alignment horizontal="center" vertical="center"/>
    </xf>
    <xf numFmtId="166" fontId="2" fillId="0" borderId="1" xfId="0" applyNumberFormat="1" applyFont="1" applyBorder="1" applyAlignment="1">
      <alignment horizontal="center"/>
    </xf>
    <xf numFmtId="166" fontId="0" fillId="0" borderId="29" xfId="0" applyNumberFormat="1" applyBorder="1" applyAlignment="1">
      <alignment horizontal="center" vertical="center"/>
    </xf>
    <xf numFmtId="166" fontId="0" fillId="0" borderId="28" xfId="0" applyNumberFormat="1" applyBorder="1" applyAlignment="1">
      <alignment horizontal="center" vertical="center"/>
    </xf>
    <xf numFmtId="166" fontId="0" fillId="7" borderId="9" xfId="0" applyNumberFormat="1" applyFill="1" applyBorder="1" applyAlignment="1">
      <alignment horizontal="center" vertical="center"/>
    </xf>
    <xf numFmtId="166" fontId="0" fillId="7" borderId="12" xfId="0" applyNumberFormat="1" applyFill="1" applyBorder="1" applyAlignment="1">
      <alignment horizontal="center" vertical="center"/>
    </xf>
    <xf numFmtId="166" fontId="0" fillId="7" borderId="25" xfId="0" applyNumberFormat="1" applyFill="1" applyBorder="1" applyAlignment="1">
      <alignment horizontal="center" vertical="center"/>
    </xf>
    <xf numFmtId="166" fontId="0" fillId="7" borderId="26" xfId="0" applyNumberFormat="1" applyFill="1" applyBorder="1" applyAlignment="1">
      <alignment horizontal="center" vertical="center"/>
    </xf>
    <xf numFmtId="166" fontId="0" fillId="2" borderId="25" xfId="0" applyNumberFormat="1" applyFill="1" applyBorder="1" applyAlignment="1">
      <alignment horizontal="center" vertical="center"/>
    </xf>
    <xf numFmtId="166" fontId="0" fillId="2" borderId="9" xfId="0" applyNumberFormat="1" applyFill="1" applyBorder="1" applyAlignment="1">
      <alignment horizontal="center" vertical="center"/>
    </xf>
    <xf numFmtId="166" fontId="0" fillId="2" borderId="26" xfId="0" applyNumberFormat="1" applyFill="1" applyBorder="1" applyAlignment="1">
      <alignment horizontal="center" vertical="center"/>
    </xf>
    <xf numFmtId="166" fontId="0" fillId="2" borderId="12" xfId="0" applyNumberFormat="1" applyFill="1" applyBorder="1" applyAlignment="1">
      <alignment horizontal="center" vertical="center"/>
    </xf>
    <xf numFmtId="0" fontId="6" fillId="0" borderId="0" xfId="0" applyFont="1"/>
    <xf numFmtId="0" fontId="0" fillId="10" borderId="0" xfId="0" applyFill="1"/>
    <xf numFmtId="167" fontId="2" fillId="0" borderId="1" xfId="0" applyNumberFormat="1" applyFont="1" applyBorder="1" applyAlignment="1">
      <alignment horizontal="center" vertical="center"/>
    </xf>
    <xf numFmtId="0" fontId="0" fillId="2" borderId="0" xfId="0" applyFill="1"/>
    <xf numFmtId="0" fontId="0" fillId="7" borderId="0" xfId="0" applyFill="1"/>
    <xf numFmtId="166" fontId="6" fillId="13" borderId="24" xfId="0" applyNumberFormat="1" applyFont="1" applyFill="1" applyBorder="1" applyAlignment="1">
      <alignment horizontal="center" vertical="center"/>
    </xf>
    <xf numFmtId="166" fontId="6" fillId="13" borderId="1" xfId="0" applyNumberFormat="1" applyFont="1" applyFill="1" applyBorder="1" applyAlignment="1">
      <alignment horizontal="center" vertical="center"/>
    </xf>
    <xf numFmtId="166" fontId="0" fillId="2" borderId="3" xfId="0" applyNumberFormat="1" applyFill="1" applyBorder="1" applyAlignment="1">
      <alignment horizontal="center" vertical="center"/>
    </xf>
    <xf numFmtId="166" fontId="0" fillId="2" borderId="2" xfId="0" applyNumberFormat="1" applyFill="1" applyBorder="1" applyAlignment="1">
      <alignment horizontal="center" vertical="center"/>
    </xf>
    <xf numFmtId="166" fontId="0" fillId="7" borderId="3" xfId="0" applyNumberFormat="1" applyFill="1" applyBorder="1" applyAlignment="1">
      <alignment horizontal="center" vertical="center"/>
    </xf>
    <xf numFmtId="166" fontId="0" fillId="7" borderId="2" xfId="0" applyNumberFormat="1" applyFill="1" applyBorder="1" applyAlignment="1">
      <alignment horizontal="center" vertical="center"/>
    </xf>
    <xf numFmtId="166" fontId="2" fillId="6" borderId="16" xfId="0" applyNumberFormat="1" applyFont="1" applyFill="1" applyBorder="1" applyAlignment="1">
      <alignment horizontal="center" vertical="center"/>
    </xf>
    <xf numFmtId="166" fontId="2" fillId="6" borderId="17" xfId="0" applyNumberFormat="1" applyFont="1" applyFill="1" applyBorder="1" applyAlignment="1">
      <alignment horizontal="center" vertical="center"/>
    </xf>
    <xf numFmtId="166" fontId="0" fillId="2" borderId="28" xfId="0" applyNumberFormat="1" applyFill="1" applyBorder="1" applyAlignment="1">
      <alignment horizontal="center" vertical="center"/>
    </xf>
    <xf numFmtId="166" fontId="0" fillId="2" borderId="29" xfId="0" applyNumberFormat="1" applyFill="1" applyBorder="1" applyAlignment="1">
      <alignment horizontal="center" vertical="center"/>
    </xf>
    <xf numFmtId="166" fontId="0" fillId="7" borderId="28" xfId="0" applyNumberFormat="1" applyFill="1" applyBorder="1" applyAlignment="1">
      <alignment horizontal="center" vertical="center"/>
    </xf>
    <xf numFmtId="166" fontId="0" fillId="7" borderId="29" xfId="0" applyNumberFormat="1" applyFill="1"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2" borderId="55" xfId="0" applyFill="1" applyBorder="1" applyAlignment="1">
      <alignment horizontal="center"/>
    </xf>
    <xf numFmtId="0" fontId="0" fillId="2" borderId="56" xfId="0" applyFill="1" applyBorder="1" applyAlignment="1">
      <alignment horizontal="center" vertical="center"/>
    </xf>
    <xf numFmtId="0" fontId="0" fillId="0" borderId="52"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0" fontId="0" fillId="7" borderId="55" xfId="0" applyFill="1" applyBorder="1" applyAlignment="1">
      <alignment horizontal="center"/>
    </xf>
    <xf numFmtId="0" fontId="0" fillId="7" borderId="56" xfId="0" applyFill="1" applyBorder="1" applyAlignment="1">
      <alignment horizontal="center"/>
    </xf>
    <xf numFmtId="0" fontId="0" fillId="2" borderId="56" xfId="0" applyFill="1" applyBorder="1" applyAlignment="1">
      <alignment horizontal="center"/>
    </xf>
    <xf numFmtId="0" fontId="6" fillId="13" borderId="53" xfId="0" applyFont="1" applyFill="1" applyBorder="1" applyAlignment="1">
      <alignment horizontal="center"/>
    </xf>
    <xf numFmtId="0" fontId="6" fillId="0" borderId="53" xfId="0" applyFont="1" applyBorder="1" applyAlignment="1">
      <alignment horizontal="center"/>
    </xf>
    <xf numFmtId="166" fontId="6" fillId="0" borderId="24" xfId="0" applyNumberFormat="1" applyFont="1" applyBorder="1" applyAlignment="1">
      <alignment horizontal="center" vertical="center"/>
    </xf>
    <xf numFmtId="166" fontId="6" fillId="0" borderId="1" xfId="0" applyNumberFormat="1" applyFont="1" applyBorder="1" applyAlignment="1">
      <alignment horizontal="center" vertical="center"/>
    </xf>
    <xf numFmtId="0" fontId="6" fillId="0" borderId="54" xfId="0" applyFont="1" applyBorder="1" applyAlignment="1">
      <alignment horizontal="center"/>
    </xf>
    <xf numFmtId="166" fontId="6" fillId="0" borderId="26" xfId="0" applyNumberFormat="1" applyFont="1" applyBorder="1" applyAlignment="1">
      <alignment horizontal="center" vertical="center"/>
    </xf>
    <xf numFmtId="166" fontId="6" fillId="0" borderId="12" xfId="0" applyNumberFormat="1" applyFont="1" applyBorder="1" applyAlignment="1">
      <alignment horizontal="center" vertical="center"/>
    </xf>
    <xf numFmtId="166" fontId="2" fillId="8" borderId="1" xfId="0" applyNumberFormat="1" applyFont="1" applyFill="1" applyBorder="1" applyAlignment="1">
      <alignment horizontal="center" vertical="center"/>
    </xf>
    <xf numFmtId="166" fontId="1" fillId="5" borderId="1" xfId="0" applyNumberFormat="1" applyFont="1" applyFill="1" applyBorder="1" applyAlignment="1">
      <alignment horizontal="center" vertical="center"/>
    </xf>
    <xf numFmtId="167" fontId="2" fillId="7" borderId="1" xfId="0" applyNumberFormat="1" applyFont="1" applyFill="1" applyBorder="1" applyAlignment="1">
      <alignment horizontal="center" vertical="center"/>
    </xf>
    <xf numFmtId="0" fontId="0" fillId="0" borderId="55" xfId="0" applyBorder="1" applyAlignment="1">
      <alignment horizontal="center"/>
    </xf>
    <xf numFmtId="0" fontId="0" fillId="2" borderId="52" xfId="0" applyFill="1" applyBorder="1" applyAlignment="1">
      <alignment horizontal="center"/>
    </xf>
    <xf numFmtId="0" fontId="0" fillId="2" borderId="54" xfId="0" applyFill="1" applyBorder="1" applyAlignment="1">
      <alignment horizontal="center"/>
    </xf>
    <xf numFmtId="0" fontId="0" fillId="0" borderId="56" xfId="0" applyBorder="1" applyAlignment="1">
      <alignment horizontal="center"/>
    </xf>
    <xf numFmtId="0" fontId="0" fillId="2" borderId="54" xfId="0" applyFill="1" applyBorder="1" applyAlignment="1">
      <alignment horizontal="center" vertical="center"/>
    </xf>
    <xf numFmtId="0" fontId="6" fillId="0" borderId="56" xfId="0" applyFont="1" applyBorder="1" applyAlignment="1">
      <alignment horizontal="center"/>
    </xf>
    <xf numFmtId="166" fontId="6" fillId="0" borderId="2" xfId="0" applyNumberFormat="1" applyFont="1" applyBorder="1" applyAlignment="1">
      <alignment horizontal="center" vertical="center"/>
    </xf>
    <xf numFmtId="0" fontId="0" fillId="7" borderId="52" xfId="0" applyFill="1" applyBorder="1" applyAlignment="1">
      <alignment horizontal="center"/>
    </xf>
    <xf numFmtId="0" fontId="0" fillId="7" borderId="54" xfId="0" applyFill="1" applyBorder="1" applyAlignment="1">
      <alignment horizontal="center"/>
    </xf>
    <xf numFmtId="166" fontId="0" fillId="2" borderId="0" xfId="0" applyNumberFormat="1" applyFill="1" applyAlignment="1">
      <alignment horizontal="center" vertical="center"/>
    </xf>
    <xf numFmtId="0" fontId="0" fillId="11" borderId="53" xfId="0" applyFill="1" applyBorder="1" applyAlignment="1">
      <alignment horizontal="center"/>
    </xf>
    <xf numFmtId="166" fontId="0" fillId="11" borderId="24" xfId="0" applyNumberFormat="1" applyFill="1" applyBorder="1" applyAlignment="1">
      <alignment horizontal="center" vertical="center"/>
    </xf>
    <xf numFmtId="166" fontId="0" fillId="11" borderId="1" xfId="0" applyNumberFormat="1" applyFill="1" applyBorder="1" applyAlignment="1">
      <alignment horizontal="center" vertical="center"/>
    </xf>
    <xf numFmtId="0" fontId="0" fillId="15" borderId="53" xfId="0" applyFill="1" applyBorder="1" applyAlignment="1">
      <alignment horizontal="center"/>
    </xf>
    <xf numFmtId="166" fontId="0" fillId="15" borderId="24" xfId="0" applyNumberFormat="1" applyFill="1" applyBorder="1" applyAlignment="1">
      <alignment horizontal="center" vertical="center"/>
    </xf>
    <xf numFmtId="166" fontId="0" fillId="15" borderId="1" xfId="0" applyNumberFormat="1" applyFill="1" applyBorder="1" applyAlignment="1">
      <alignment horizontal="center" vertical="center"/>
    </xf>
    <xf numFmtId="0" fontId="0" fillId="15" borderId="54" xfId="0" applyFill="1" applyBorder="1" applyAlignment="1">
      <alignment horizontal="center"/>
    </xf>
    <xf numFmtId="166" fontId="0" fillId="15" borderId="26" xfId="0" applyNumberFormat="1" applyFill="1" applyBorder="1" applyAlignment="1">
      <alignment horizontal="center" vertical="center"/>
    </xf>
    <xf numFmtId="166" fontId="0" fillId="15" borderId="12" xfId="0" applyNumberFormat="1" applyFill="1" applyBorder="1" applyAlignment="1">
      <alignment horizontal="center" vertical="center"/>
    </xf>
    <xf numFmtId="0" fontId="0" fillId="16" borderId="52" xfId="0" applyFill="1" applyBorder="1" applyAlignment="1">
      <alignment horizontal="center"/>
    </xf>
    <xf numFmtId="166" fontId="0" fillId="16" borderId="25" xfId="0" applyNumberFormat="1" applyFill="1" applyBorder="1" applyAlignment="1">
      <alignment horizontal="center" vertical="center"/>
    </xf>
    <xf numFmtId="166" fontId="0" fillId="16" borderId="9" xfId="0" applyNumberFormat="1" applyFill="1" applyBorder="1" applyAlignment="1">
      <alignment horizontal="center" vertical="center"/>
    </xf>
    <xf numFmtId="0" fontId="0" fillId="16" borderId="54" xfId="0" applyFill="1" applyBorder="1" applyAlignment="1">
      <alignment horizontal="center"/>
    </xf>
    <xf numFmtId="166" fontId="0" fillId="16" borderId="26" xfId="0" applyNumberFormat="1" applyFill="1" applyBorder="1" applyAlignment="1">
      <alignment horizontal="center" vertical="center"/>
    </xf>
    <xf numFmtId="166" fontId="0" fillId="16" borderId="12" xfId="0" applyNumberFormat="1" applyFill="1" applyBorder="1" applyAlignment="1">
      <alignment horizontal="center" vertical="center"/>
    </xf>
    <xf numFmtId="0" fontId="0" fillId="17" borderId="53" xfId="0" applyFill="1" applyBorder="1" applyAlignment="1">
      <alignment horizontal="center"/>
    </xf>
    <xf numFmtId="166" fontId="0" fillId="17" borderId="24" xfId="0" applyNumberFormat="1" applyFill="1" applyBorder="1" applyAlignment="1">
      <alignment horizontal="center" vertical="center"/>
    </xf>
    <xf numFmtId="166" fontId="0" fillId="17" borderId="1" xfId="0" applyNumberFormat="1" applyFill="1" applyBorder="1" applyAlignment="1">
      <alignment horizontal="center" vertical="center"/>
    </xf>
    <xf numFmtId="0" fontId="0" fillId="0" borderId="5" xfId="0" applyBorder="1" applyAlignment="1">
      <alignment horizontal="center"/>
    </xf>
    <xf numFmtId="0" fontId="0" fillId="0" borderId="37" xfId="0" applyBorder="1" applyAlignment="1">
      <alignment horizontal="center"/>
    </xf>
    <xf numFmtId="0" fontId="0" fillId="16" borderId="57" xfId="0" applyFill="1" applyBorder="1" applyAlignment="1">
      <alignment horizontal="center"/>
    </xf>
    <xf numFmtId="0" fontId="0" fillId="16" borderId="37" xfId="0" applyFill="1" applyBorder="1" applyAlignment="1">
      <alignment horizontal="center"/>
    </xf>
    <xf numFmtId="166" fontId="0" fillId="16" borderId="1" xfId="0" applyNumberFormat="1" applyFill="1" applyBorder="1" applyAlignment="1">
      <alignment horizontal="center" vertical="center"/>
    </xf>
    <xf numFmtId="0" fontId="0" fillId="6" borderId="52" xfId="0" applyFill="1" applyBorder="1" applyAlignment="1">
      <alignment horizontal="center"/>
    </xf>
    <xf numFmtId="166" fontId="0" fillId="6" borderId="25" xfId="0" applyNumberFormat="1" applyFill="1" applyBorder="1" applyAlignment="1">
      <alignment horizontal="center" vertical="center"/>
    </xf>
    <xf numFmtId="166" fontId="0" fillId="6" borderId="9" xfId="0" applyNumberFormat="1" applyFill="1" applyBorder="1" applyAlignment="1">
      <alignment horizontal="center" vertical="center"/>
    </xf>
    <xf numFmtId="0" fontId="0" fillId="6" borderId="54" xfId="0" applyFill="1" applyBorder="1" applyAlignment="1">
      <alignment horizontal="center"/>
    </xf>
    <xf numFmtId="166" fontId="0" fillId="6" borderId="26" xfId="0" applyNumberFormat="1" applyFill="1" applyBorder="1" applyAlignment="1">
      <alignment horizontal="center" vertical="center"/>
    </xf>
    <xf numFmtId="166" fontId="0" fillId="6" borderId="12" xfId="0" applyNumberFormat="1" applyFill="1" applyBorder="1" applyAlignment="1">
      <alignment horizontal="center" vertical="center"/>
    </xf>
    <xf numFmtId="0" fontId="0" fillId="6" borderId="57" xfId="0" applyFill="1" applyBorder="1" applyAlignment="1">
      <alignment horizontal="center"/>
    </xf>
    <xf numFmtId="166" fontId="0" fillId="6" borderId="1" xfId="0" applyNumberFormat="1" applyFill="1" applyBorder="1" applyAlignment="1">
      <alignment horizontal="center" vertical="center"/>
    </xf>
    <xf numFmtId="0" fontId="0" fillId="6" borderId="37" xfId="0" applyFill="1" applyBorder="1" applyAlignment="1">
      <alignment horizontal="center"/>
    </xf>
    <xf numFmtId="0" fontId="0" fillId="19" borderId="53" xfId="0" applyFill="1" applyBorder="1" applyAlignment="1">
      <alignment horizontal="center"/>
    </xf>
    <xf numFmtId="166" fontId="0" fillId="19" borderId="24" xfId="0" applyNumberFormat="1" applyFill="1" applyBorder="1" applyAlignment="1">
      <alignment horizontal="center" vertical="center"/>
    </xf>
    <xf numFmtId="166" fontId="0" fillId="19" borderId="1" xfId="0" applyNumberFormat="1" applyFill="1" applyBorder="1" applyAlignment="1">
      <alignment horizontal="center" vertical="center"/>
    </xf>
    <xf numFmtId="0" fontId="0" fillId="19" borderId="54" xfId="0" applyFill="1" applyBorder="1" applyAlignment="1">
      <alignment horizontal="center"/>
    </xf>
    <xf numFmtId="166" fontId="0" fillId="19" borderId="26" xfId="0" applyNumberFormat="1" applyFill="1" applyBorder="1" applyAlignment="1">
      <alignment horizontal="center" vertical="center"/>
    </xf>
    <xf numFmtId="166" fontId="0" fillId="19" borderId="12" xfId="0" applyNumberFormat="1" applyFill="1" applyBorder="1" applyAlignment="1">
      <alignment horizontal="center" vertical="center"/>
    </xf>
    <xf numFmtId="0" fontId="0" fillId="19" borderId="5" xfId="0" applyFill="1" applyBorder="1" applyAlignment="1">
      <alignment horizontal="center"/>
    </xf>
    <xf numFmtId="0" fontId="6" fillId="21" borderId="53" xfId="0" applyFont="1" applyFill="1" applyBorder="1" applyAlignment="1">
      <alignment horizontal="center"/>
    </xf>
    <xf numFmtId="166" fontId="6" fillId="21" borderId="24" xfId="0" applyNumberFormat="1" applyFont="1" applyFill="1" applyBorder="1" applyAlignment="1">
      <alignment horizontal="center" vertical="center"/>
    </xf>
    <xf numFmtId="166" fontId="6" fillId="21" borderId="1" xfId="0" applyNumberFormat="1" applyFont="1" applyFill="1" applyBorder="1" applyAlignment="1">
      <alignment horizontal="center" vertical="center"/>
    </xf>
    <xf numFmtId="167" fontId="2" fillId="4" borderId="1" xfId="0" applyNumberFormat="1" applyFont="1" applyFill="1" applyBorder="1" applyAlignment="1">
      <alignment horizontal="center" vertical="center"/>
    </xf>
    <xf numFmtId="167" fontId="2" fillId="9" borderId="1" xfId="0" applyNumberFormat="1" applyFont="1" applyFill="1" applyBorder="1" applyAlignment="1">
      <alignment horizontal="center" vertical="center"/>
    </xf>
    <xf numFmtId="167" fontId="2" fillId="3" borderId="1" xfId="0" applyNumberFormat="1" applyFont="1" applyFill="1" applyBorder="1" applyAlignment="1">
      <alignment horizontal="center" vertical="center"/>
    </xf>
    <xf numFmtId="0" fontId="0" fillId="6" borderId="58" xfId="0" applyFill="1" applyBorder="1" applyAlignment="1">
      <alignment horizontal="center"/>
    </xf>
    <xf numFmtId="0" fontId="0" fillId="6" borderId="59" xfId="0" applyFill="1" applyBorder="1" applyAlignment="1">
      <alignment horizontal="center"/>
    </xf>
    <xf numFmtId="0" fontId="0" fillId="15" borderId="55" xfId="0" applyFill="1" applyBorder="1" applyAlignment="1">
      <alignment horizontal="center"/>
    </xf>
    <xf numFmtId="166" fontId="0" fillId="15" borderId="28" xfId="0" applyNumberFormat="1" applyFill="1" applyBorder="1" applyAlignment="1">
      <alignment horizontal="center" vertical="center"/>
    </xf>
    <xf numFmtId="166" fontId="0" fillId="15" borderId="3" xfId="0" applyNumberFormat="1" applyFill="1" applyBorder="1" applyAlignment="1">
      <alignment horizontal="center" vertical="center"/>
    </xf>
    <xf numFmtId="0" fontId="0" fillId="4" borderId="61" xfId="0" applyFill="1" applyBorder="1" applyAlignment="1">
      <alignment horizontal="center" vertical="center"/>
    </xf>
    <xf numFmtId="0" fontId="0" fillId="9" borderId="62" xfId="0" applyFill="1" applyBorder="1" applyAlignment="1">
      <alignment horizontal="center" vertical="center"/>
    </xf>
    <xf numFmtId="0" fontId="0" fillId="3" borderId="61" xfId="0" applyFill="1" applyBorder="1" applyAlignment="1">
      <alignment horizontal="center" vertical="center"/>
    </xf>
    <xf numFmtId="0" fontId="1" fillId="5" borderId="6" xfId="0" applyFont="1" applyFill="1" applyBorder="1" applyAlignment="1">
      <alignment horizontal="center" vertical="center"/>
    </xf>
    <xf numFmtId="0" fontId="1" fillId="5" borderId="61" xfId="0" applyFont="1" applyFill="1" applyBorder="1" applyAlignment="1">
      <alignment horizontal="center" vertical="center"/>
    </xf>
    <xf numFmtId="0" fontId="2" fillId="0" borderId="6" xfId="0" applyFont="1" applyBorder="1" applyAlignment="1">
      <alignment horizontal="center" vertical="center"/>
    </xf>
    <xf numFmtId="0" fontId="2" fillId="0" borderId="41" xfId="0" applyFont="1" applyBorder="1" applyAlignment="1">
      <alignment horizontal="center" vertical="center"/>
    </xf>
    <xf numFmtId="166" fontId="2" fillId="6" borderId="30" xfId="0" applyNumberFormat="1" applyFont="1" applyFill="1" applyBorder="1" applyAlignment="1">
      <alignment horizontal="center" vertical="center"/>
    </xf>
    <xf numFmtId="0" fontId="0" fillId="12" borderId="55" xfId="0" applyFill="1" applyBorder="1" applyAlignment="1">
      <alignment horizontal="center"/>
    </xf>
    <xf numFmtId="166" fontId="0" fillId="12" borderId="28" xfId="0" applyNumberFormat="1" applyFill="1" applyBorder="1" applyAlignment="1">
      <alignment horizontal="center" vertical="center"/>
    </xf>
    <xf numFmtId="166" fontId="0" fillId="12" borderId="3" xfId="0" applyNumberFormat="1" applyFill="1" applyBorder="1" applyAlignment="1">
      <alignment horizontal="center" vertical="center"/>
    </xf>
    <xf numFmtId="0" fontId="0" fillId="12" borderId="54" xfId="0" applyFill="1" applyBorder="1" applyAlignment="1">
      <alignment horizontal="center"/>
    </xf>
    <xf numFmtId="166" fontId="0" fillId="12" borderId="26" xfId="0" applyNumberFormat="1" applyFill="1" applyBorder="1" applyAlignment="1">
      <alignment horizontal="center" vertical="center"/>
    </xf>
    <xf numFmtId="166" fontId="0" fillId="12" borderId="12" xfId="0" applyNumberFormat="1" applyFill="1" applyBorder="1" applyAlignment="1">
      <alignment horizontal="center" vertical="center"/>
    </xf>
    <xf numFmtId="0" fontId="0" fillId="22" borderId="52" xfId="0" applyFill="1" applyBorder="1" applyAlignment="1">
      <alignment horizontal="center"/>
    </xf>
    <xf numFmtId="166" fontId="0" fillId="22" borderId="25" xfId="0" applyNumberFormat="1" applyFill="1" applyBorder="1" applyAlignment="1">
      <alignment horizontal="center" vertical="center"/>
    </xf>
    <xf numFmtId="166" fontId="0" fillId="22" borderId="9" xfId="0" applyNumberFormat="1" applyFill="1" applyBorder="1" applyAlignment="1">
      <alignment horizontal="center" vertical="center"/>
    </xf>
    <xf numFmtId="0" fontId="0" fillId="22" borderId="54" xfId="0" applyFill="1" applyBorder="1" applyAlignment="1">
      <alignment horizontal="center"/>
    </xf>
    <xf numFmtId="166" fontId="0" fillId="22" borderId="26" xfId="0" applyNumberFormat="1" applyFill="1" applyBorder="1" applyAlignment="1">
      <alignment horizontal="center" vertical="center"/>
    </xf>
    <xf numFmtId="166" fontId="0" fillId="22" borderId="12" xfId="0" applyNumberFormat="1" applyFill="1" applyBorder="1" applyAlignment="1">
      <alignment horizontal="center" vertical="center"/>
    </xf>
    <xf numFmtId="0" fontId="0" fillId="23" borderId="53" xfId="0" applyFill="1" applyBorder="1" applyAlignment="1">
      <alignment horizontal="center"/>
    </xf>
    <xf numFmtId="166" fontId="0" fillId="23" borderId="24" xfId="0" applyNumberFormat="1" applyFill="1" applyBorder="1" applyAlignment="1">
      <alignment horizontal="center" vertical="center"/>
    </xf>
    <xf numFmtId="166" fontId="0" fillId="23" borderId="1" xfId="0" applyNumberFormat="1" applyFill="1" applyBorder="1" applyAlignment="1">
      <alignment horizontal="center" vertical="center"/>
    </xf>
    <xf numFmtId="166" fontId="2" fillId="6" borderId="36" xfId="0" applyNumberFormat="1" applyFont="1" applyFill="1" applyBorder="1" applyAlignment="1">
      <alignment horizontal="center" vertical="center"/>
    </xf>
    <xf numFmtId="166" fontId="0" fillId="0" borderId="4" xfId="0" applyNumberFormat="1" applyBorder="1" applyAlignment="1">
      <alignment horizontal="center"/>
    </xf>
    <xf numFmtId="0" fontId="1" fillId="5" borderId="22" xfId="0" applyFont="1" applyFill="1" applyBorder="1" applyAlignment="1">
      <alignment horizontal="center" vertical="center" wrapText="1"/>
    </xf>
    <xf numFmtId="0" fontId="2" fillId="4" borderId="2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24" borderId="52" xfId="0" applyFill="1" applyBorder="1" applyAlignment="1">
      <alignment horizontal="center" vertical="center"/>
    </xf>
    <xf numFmtId="166" fontId="0" fillId="24" borderId="25" xfId="0" applyNumberFormat="1" applyFill="1" applyBorder="1" applyAlignment="1">
      <alignment horizontal="center" vertical="center"/>
    </xf>
    <xf numFmtId="166" fontId="0" fillId="24" borderId="9" xfId="0" applyNumberFormat="1" applyFill="1" applyBorder="1" applyAlignment="1">
      <alignment horizontal="center" vertical="center"/>
    </xf>
    <xf numFmtId="0" fontId="0" fillId="24" borderId="53" xfId="0" applyFill="1" applyBorder="1" applyAlignment="1">
      <alignment horizontal="center" vertical="center"/>
    </xf>
    <xf numFmtId="166" fontId="0" fillId="24" borderId="24" xfId="0" applyNumberFormat="1" applyFill="1" applyBorder="1" applyAlignment="1">
      <alignment horizontal="center" vertical="center"/>
    </xf>
    <xf numFmtId="166" fontId="0" fillId="24" borderId="1" xfId="0" applyNumberFormat="1" applyFill="1" applyBorder="1" applyAlignment="1">
      <alignment horizontal="center" vertical="center"/>
    </xf>
    <xf numFmtId="16" fontId="0" fillId="0" borderId="0" xfId="0" applyNumberFormat="1"/>
    <xf numFmtId="168" fontId="0" fillId="0" borderId="0" xfId="2" applyNumberFormat="1" applyFont="1"/>
    <xf numFmtId="168" fontId="0" fillId="0" borderId="0" xfId="2" applyNumberFormat="1" applyFont="1" applyAlignment="1">
      <alignment horizontal="center"/>
    </xf>
    <xf numFmtId="168" fontId="0" fillId="0" borderId="0" xfId="0" applyNumberFormat="1"/>
    <xf numFmtId="0" fontId="0" fillId="0" borderId="1" xfId="0" applyBorder="1"/>
    <xf numFmtId="16" fontId="0" fillId="0" borderId="1" xfId="0" applyNumberFormat="1" applyBorder="1"/>
    <xf numFmtId="168" fontId="0" fillId="0" borderId="1" xfId="2" applyNumberFormat="1" applyFont="1" applyBorder="1"/>
    <xf numFmtId="168" fontId="0" fillId="0" borderId="1" xfId="2" applyNumberFormat="1" applyFont="1" applyBorder="1" applyAlignment="1">
      <alignment horizontal="center"/>
    </xf>
    <xf numFmtId="166" fontId="6" fillId="0" borderId="29" xfId="0" applyNumberFormat="1" applyFont="1" applyBorder="1" applyAlignment="1">
      <alignment horizontal="center" vertical="center"/>
    </xf>
    <xf numFmtId="166" fontId="0" fillId="7" borderId="36" xfId="0" applyNumberFormat="1" applyFill="1" applyBorder="1" applyAlignment="1">
      <alignment horizontal="center" vertical="center"/>
    </xf>
    <xf numFmtId="166" fontId="0" fillId="2" borderId="36" xfId="0" applyNumberFormat="1" applyFill="1" applyBorder="1" applyAlignment="1">
      <alignment horizontal="center" vertical="center"/>
    </xf>
    <xf numFmtId="164" fontId="0" fillId="0" borderId="0" xfId="0" applyNumberFormat="1"/>
    <xf numFmtId="10" fontId="0" fillId="0" borderId="0" xfId="0" applyNumberFormat="1"/>
    <xf numFmtId="0" fontId="0" fillId="0" borderId="4" xfId="0" applyBorder="1" applyAlignment="1">
      <alignment horizontal="center"/>
    </xf>
    <xf numFmtId="0" fontId="0" fillId="0" borderId="24" xfId="0" applyBorder="1" applyAlignment="1">
      <alignment horizontal="center"/>
    </xf>
    <xf numFmtId="0" fontId="2" fillId="0" borderId="1" xfId="0" applyFont="1" applyBorder="1" applyAlignment="1">
      <alignment horizontal="center"/>
    </xf>
    <xf numFmtId="0" fontId="0" fillId="0" borderId="1" xfId="0" applyBorder="1" applyAlignment="1">
      <alignment horizontal="center"/>
    </xf>
    <xf numFmtId="0" fontId="1" fillId="5" borderId="7"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2" fillId="6" borderId="23" xfId="0" applyFont="1" applyFill="1" applyBorder="1" applyAlignment="1">
      <alignment horizontal="center" vertical="center"/>
    </xf>
    <xf numFmtId="0" fontId="2" fillId="6" borderId="36" xfId="0" applyFont="1" applyFill="1" applyBorder="1" applyAlignment="1">
      <alignment horizontal="center" vertical="center"/>
    </xf>
    <xf numFmtId="0" fontId="2" fillId="3" borderId="27" xfId="0" applyFont="1" applyFill="1" applyBorder="1" applyAlignment="1">
      <alignment horizontal="center" vertical="center" wrapText="1"/>
    </xf>
    <xf numFmtId="0" fontId="2" fillId="4" borderId="27" xfId="0" applyFont="1" applyFill="1" applyBorder="1" applyAlignment="1">
      <alignment horizontal="center" vertical="center" wrapText="1"/>
    </xf>
    <xf numFmtId="14" fontId="0" fillId="0" borderId="47" xfId="0" applyNumberFormat="1" applyBorder="1" applyAlignment="1">
      <alignment horizontal="center" vertical="center"/>
    </xf>
    <xf numFmtId="14" fontId="0" fillId="0" borderId="50" xfId="0" applyNumberFormat="1" applyBorder="1" applyAlignment="1">
      <alignment horizontal="center" vertical="center"/>
    </xf>
    <xf numFmtId="14" fontId="0" fillId="0" borderId="38" xfId="0" applyNumberFormat="1" applyBorder="1" applyAlignment="1">
      <alignment horizontal="center" vertical="center"/>
    </xf>
    <xf numFmtId="14" fontId="0" fillId="0" borderId="39" xfId="0" applyNumberFormat="1" applyBorder="1" applyAlignment="1">
      <alignment horizontal="center" vertical="center"/>
    </xf>
    <xf numFmtId="166" fontId="0" fillId="0" borderId="1" xfId="0" applyNumberFormat="1" applyBorder="1" applyAlignment="1">
      <alignment horizontal="center" vertical="center"/>
    </xf>
    <xf numFmtId="166" fontId="0" fillId="0" borderId="2" xfId="0" applyNumberFormat="1" applyBorder="1" applyAlignment="1">
      <alignment horizontal="center" vertical="center"/>
    </xf>
    <xf numFmtId="166" fontId="0" fillId="0" borderId="11" xfId="0" applyNumberFormat="1" applyBorder="1" applyAlignment="1">
      <alignment horizontal="center" vertical="center"/>
    </xf>
    <xf numFmtId="166" fontId="0" fillId="0" borderId="21" xfId="0" applyNumberFormat="1" applyBorder="1" applyAlignment="1">
      <alignment horizontal="center" vertical="center"/>
    </xf>
    <xf numFmtId="14" fontId="0" fillId="2" borderId="49" xfId="0" applyNumberFormat="1" applyFill="1" applyBorder="1" applyAlignment="1">
      <alignment horizontal="center" vertical="center"/>
    </xf>
    <xf numFmtId="14" fontId="0" fillId="2" borderId="48" xfId="0" applyNumberFormat="1" applyFill="1" applyBorder="1" applyAlignment="1">
      <alignment horizontal="center" vertical="center"/>
    </xf>
    <xf numFmtId="14" fontId="0" fillId="2" borderId="38" xfId="0" applyNumberFormat="1" applyFill="1" applyBorder="1" applyAlignment="1">
      <alignment horizontal="center" vertical="center"/>
    </xf>
    <xf numFmtId="14" fontId="0" fillId="2" borderId="40" xfId="0" applyNumberFormat="1" applyFill="1" applyBorder="1" applyAlignment="1">
      <alignment horizontal="center" vertical="center"/>
    </xf>
    <xf numFmtId="166" fontId="0" fillId="2" borderId="9" xfId="0" applyNumberFormat="1" applyFill="1" applyBorder="1" applyAlignment="1">
      <alignment horizontal="center" vertical="center"/>
    </xf>
    <xf numFmtId="166" fontId="0" fillId="2" borderId="12" xfId="0" applyNumberFormat="1" applyFill="1" applyBorder="1" applyAlignment="1">
      <alignment horizontal="center" vertical="center"/>
    </xf>
    <xf numFmtId="166" fontId="0" fillId="2" borderId="10" xfId="0" applyNumberFormat="1" applyFill="1" applyBorder="1" applyAlignment="1">
      <alignment horizontal="center" vertical="center"/>
    </xf>
    <xf numFmtId="166" fontId="0" fillId="2" borderId="13" xfId="0" applyNumberFormat="1" applyFill="1" applyBorder="1" applyAlignment="1">
      <alignment horizontal="center" vertical="center"/>
    </xf>
    <xf numFmtId="0" fontId="7" fillId="0" borderId="0" xfId="0" applyFont="1" applyAlignment="1">
      <alignment horizontal="center" vertical="center"/>
    </xf>
    <xf numFmtId="166" fontId="6" fillId="13" borderId="1" xfId="0" applyNumberFormat="1" applyFont="1" applyFill="1" applyBorder="1" applyAlignment="1">
      <alignment horizontal="center" vertical="center"/>
    </xf>
    <xf numFmtId="166" fontId="6" fillId="13" borderId="11" xfId="0" applyNumberFormat="1" applyFont="1" applyFill="1" applyBorder="1" applyAlignment="1">
      <alignment horizontal="center" vertical="center"/>
    </xf>
    <xf numFmtId="14" fontId="0" fillId="7" borderId="51" xfId="0" applyNumberFormat="1" applyFill="1" applyBorder="1" applyAlignment="1">
      <alignment horizontal="center" vertical="center"/>
    </xf>
    <xf numFmtId="14" fontId="0" fillId="7" borderId="50" xfId="0" applyNumberFormat="1" applyFill="1" applyBorder="1" applyAlignment="1">
      <alignment horizontal="center" vertical="center"/>
    </xf>
    <xf numFmtId="14" fontId="0" fillId="7" borderId="43" xfId="0" applyNumberFormat="1" applyFill="1" applyBorder="1" applyAlignment="1">
      <alignment horizontal="center" vertical="center"/>
    </xf>
    <xf numFmtId="14" fontId="0" fillId="7" borderId="42" xfId="0" applyNumberFormat="1" applyFill="1" applyBorder="1" applyAlignment="1">
      <alignment horizontal="center" vertical="center"/>
    </xf>
    <xf numFmtId="166" fontId="0" fillId="7" borderId="3" xfId="0" applyNumberFormat="1" applyFill="1" applyBorder="1" applyAlignment="1">
      <alignment horizontal="center" vertical="center"/>
    </xf>
    <xf numFmtId="166" fontId="0" fillId="7" borderId="2" xfId="0" applyNumberFormat="1" applyFill="1" applyBorder="1" applyAlignment="1">
      <alignment horizontal="center" vertical="center"/>
    </xf>
    <xf numFmtId="14" fontId="0" fillId="0" borderId="49" xfId="0" applyNumberFormat="1" applyBorder="1" applyAlignment="1">
      <alignment horizontal="center" vertical="center"/>
    </xf>
    <xf numFmtId="166" fontId="0" fillId="0" borderId="9" xfId="0" applyNumberFormat="1" applyBorder="1" applyAlignment="1">
      <alignment horizontal="center" vertical="center"/>
    </xf>
    <xf numFmtId="166" fontId="0" fillId="0" borderId="10" xfId="0" applyNumberFormat="1" applyBorder="1" applyAlignment="1">
      <alignment horizontal="center" vertical="center"/>
    </xf>
    <xf numFmtId="14" fontId="0" fillId="0" borderId="48" xfId="0" applyNumberFormat="1" applyBorder="1" applyAlignment="1">
      <alignment horizontal="center" vertical="center"/>
    </xf>
    <xf numFmtId="166" fontId="0" fillId="0" borderId="12" xfId="0" applyNumberFormat="1" applyBorder="1" applyAlignment="1">
      <alignment horizontal="center" vertical="center"/>
    </xf>
    <xf numFmtId="166" fontId="0" fillId="0" borderId="3" xfId="0" applyNumberFormat="1" applyBorder="1" applyAlignment="1">
      <alignment horizontal="center" vertical="center"/>
    </xf>
    <xf numFmtId="166" fontId="0" fillId="0" borderId="13" xfId="0" applyNumberFormat="1" applyBorder="1" applyAlignment="1">
      <alignment horizontal="center" vertical="center"/>
    </xf>
    <xf numFmtId="14" fontId="0" fillId="0" borderId="51" xfId="0" applyNumberFormat="1" applyBorder="1" applyAlignment="1">
      <alignment horizontal="center" vertical="center"/>
    </xf>
    <xf numFmtId="14" fontId="0" fillId="0" borderId="43" xfId="0" applyNumberFormat="1" applyBorder="1" applyAlignment="1">
      <alignment horizontal="center" vertical="center"/>
    </xf>
    <xf numFmtId="166" fontId="0" fillId="0" borderId="19" xfId="0" applyNumberFormat="1" applyBorder="1" applyAlignment="1">
      <alignment horizontal="center" vertical="center"/>
    </xf>
    <xf numFmtId="14" fontId="0" fillId="0" borderId="42" xfId="0" applyNumberFormat="1" applyBorder="1" applyAlignment="1">
      <alignment horizontal="center" vertical="center"/>
    </xf>
    <xf numFmtId="166" fontId="0" fillId="7" borderId="9" xfId="0" applyNumberFormat="1" applyFill="1" applyBorder="1" applyAlignment="1">
      <alignment horizontal="center" vertical="center"/>
    </xf>
    <xf numFmtId="166" fontId="0" fillId="7" borderId="12" xfId="0" applyNumberFormat="1" applyFill="1" applyBorder="1" applyAlignment="1">
      <alignment horizontal="center" vertical="center"/>
    </xf>
    <xf numFmtId="166" fontId="0" fillId="7" borderId="10" xfId="0" applyNumberFormat="1" applyFill="1" applyBorder="1" applyAlignment="1">
      <alignment horizontal="center" vertical="center"/>
    </xf>
    <xf numFmtId="166" fontId="0" fillId="7" borderId="13" xfId="0" applyNumberFormat="1" applyFill="1" applyBorder="1" applyAlignment="1">
      <alignment horizontal="center" vertical="center"/>
    </xf>
    <xf numFmtId="14" fontId="6" fillId="0" borderId="47" xfId="0" applyNumberFormat="1" applyFont="1" applyBorder="1" applyAlignment="1">
      <alignment horizontal="center" vertical="center"/>
    </xf>
    <xf numFmtId="14" fontId="6" fillId="0" borderId="50" xfId="0" applyNumberFormat="1" applyFont="1" applyBorder="1" applyAlignment="1">
      <alignment horizontal="center" vertical="center"/>
    </xf>
    <xf numFmtId="166" fontId="6" fillId="0" borderId="1" xfId="0" applyNumberFormat="1" applyFont="1" applyBorder="1" applyAlignment="1">
      <alignment horizontal="center" vertical="center"/>
    </xf>
    <xf numFmtId="166" fontId="6" fillId="0" borderId="2" xfId="0" applyNumberFormat="1" applyFont="1" applyBorder="1" applyAlignment="1">
      <alignment horizontal="center" vertical="center"/>
    </xf>
    <xf numFmtId="166" fontId="6" fillId="0" borderId="11" xfId="0" applyNumberFormat="1" applyFont="1" applyBorder="1" applyAlignment="1">
      <alignment horizontal="center" vertical="center"/>
    </xf>
    <xf numFmtId="166" fontId="6" fillId="0" borderId="21" xfId="0" applyNumberFormat="1" applyFont="1" applyBorder="1" applyAlignment="1">
      <alignment horizontal="center" vertical="center"/>
    </xf>
    <xf numFmtId="0" fontId="0" fillId="0" borderId="0" xfId="0" applyAlignment="1">
      <alignment horizontal="center"/>
    </xf>
    <xf numFmtId="0" fontId="2" fillId="6" borderId="2"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8"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10" xfId="0" applyFont="1" applyFill="1" applyBorder="1" applyAlignment="1">
      <alignment horizontal="center" vertical="center"/>
    </xf>
    <xf numFmtId="0" fontId="7" fillId="12" borderId="44" xfId="0" applyFont="1" applyFill="1" applyBorder="1" applyAlignment="1">
      <alignment horizontal="center" vertical="center"/>
    </xf>
    <xf numFmtId="0" fontId="7" fillId="12" borderId="35" xfId="0" applyFont="1" applyFill="1" applyBorder="1" applyAlignment="1">
      <alignment horizontal="center" vertical="center"/>
    </xf>
    <xf numFmtId="14" fontId="0" fillId="7" borderId="49" xfId="0" applyNumberFormat="1" applyFill="1" applyBorder="1" applyAlignment="1">
      <alignment horizontal="center" vertical="center"/>
    </xf>
    <xf numFmtId="14" fontId="0" fillId="7" borderId="48" xfId="0" applyNumberFormat="1" applyFill="1" applyBorder="1" applyAlignment="1">
      <alignment horizontal="center" vertical="center"/>
    </xf>
    <xf numFmtId="14" fontId="0" fillId="7" borderId="38" xfId="0" applyNumberFormat="1" applyFill="1" applyBorder="1" applyAlignment="1">
      <alignment horizontal="center" vertical="center"/>
    </xf>
    <xf numFmtId="14" fontId="0" fillId="7" borderId="40" xfId="0" applyNumberFormat="1" applyFill="1" applyBorder="1" applyAlignment="1">
      <alignment horizontal="center" vertical="center"/>
    </xf>
    <xf numFmtId="166" fontId="0" fillId="24" borderId="10" xfId="0" applyNumberFormat="1" applyFill="1" applyBorder="1" applyAlignment="1">
      <alignment horizontal="center" vertical="center"/>
    </xf>
    <xf numFmtId="166" fontId="0" fillId="24" borderId="11" xfId="0" applyNumberFormat="1" applyFill="1" applyBorder="1" applyAlignment="1">
      <alignment horizontal="center" vertical="center"/>
    </xf>
    <xf numFmtId="14" fontId="0" fillId="24" borderId="49" xfId="0" applyNumberFormat="1" applyFill="1" applyBorder="1" applyAlignment="1">
      <alignment horizontal="center" vertical="center"/>
    </xf>
    <xf numFmtId="14" fontId="0" fillId="24" borderId="47" xfId="0" applyNumberFormat="1" applyFill="1" applyBorder="1" applyAlignment="1">
      <alignment horizontal="center" vertical="center"/>
    </xf>
    <xf numFmtId="14" fontId="0" fillId="24" borderId="38" xfId="0" applyNumberFormat="1" applyFill="1" applyBorder="1" applyAlignment="1">
      <alignment horizontal="center" vertical="center"/>
    </xf>
    <xf numFmtId="14" fontId="0" fillId="24" borderId="39" xfId="0" applyNumberFormat="1" applyFill="1" applyBorder="1" applyAlignment="1">
      <alignment horizontal="center" vertical="center"/>
    </xf>
    <xf numFmtId="166" fontId="0" fillId="24" borderId="9" xfId="0" applyNumberFormat="1" applyFill="1" applyBorder="1" applyAlignment="1">
      <alignment horizontal="center" vertical="center"/>
    </xf>
    <xf numFmtId="166" fontId="0" fillId="24" borderId="1" xfId="0" applyNumberFormat="1" applyFill="1" applyBorder="1" applyAlignment="1">
      <alignment horizontal="center" vertical="center"/>
    </xf>
    <xf numFmtId="14" fontId="0" fillId="2" borderId="51" xfId="0" applyNumberFormat="1" applyFill="1" applyBorder="1" applyAlignment="1">
      <alignment horizontal="center" vertical="center"/>
    </xf>
    <xf numFmtId="14" fontId="0" fillId="2" borderId="50" xfId="0" applyNumberFormat="1" applyFill="1" applyBorder="1" applyAlignment="1">
      <alignment horizontal="center" vertical="center"/>
    </xf>
    <xf numFmtId="14" fontId="0" fillId="2" borderId="43" xfId="0" applyNumberFormat="1" applyFill="1" applyBorder="1" applyAlignment="1">
      <alignment horizontal="center" vertical="center"/>
    </xf>
    <xf numFmtId="14" fontId="0" fillId="2" borderId="42" xfId="0" applyNumberFormat="1" applyFill="1" applyBorder="1" applyAlignment="1">
      <alignment horizontal="center" vertical="center"/>
    </xf>
    <xf numFmtId="166" fontId="0" fillId="2" borderId="3" xfId="0" applyNumberFormat="1" applyFill="1" applyBorder="1" applyAlignment="1">
      <alignment horizontal="center" vertical="center"/>
    </xf>
    <xf numFmtId="166" fontId="0" fillId="2" borderId="2" xfId="0" applyNumberFormat="1" applyFill="1" applyBorder="1" applyAlignment="1">
      <alignment horizontal="center" vertical="center"/>
    </xf>
    <xf numFmtId="14" fontId="6" fillId="0" borderId="48" xfId="0" applyNumberFormat="1" applyFont="1" applyBorder="1" applyAlignment="1">
      <alignment horizontal="center" vertical="center"/>
    </xf>
    <xf numFmtId="166" fontId="6" fillId="0" borderId="12" xfId="0" applyNumberFormat="1" applyFont="1" applyBorder="1" applyAlignment="1">
      <alignment horizontal="center" vertical="center"/>
    </xf>
    <xf numFmtId="166" fontId="6" fillId="0" borderId="13" xfId="0" applyNumberFormat="1" applyFont="1" applyBorder="1" applyAlignment="1">
      <alignment horizontal="center" vertical="center"/>
    </xf>
    <xf numFmtId="0" fontId="1" fillId="5" borderId="15" xfId="0" applyFont="1" applyFill="1" applyBorder="1" applyAlignment="1">
      <alignment horizontal="center" vertical="center"/>
    </xf>
    <xf numFmtId="0" fontId="1" fillId="5" borderId="17" xfId="0" applyFont="1" applyFill="1" applyBorder="1" applyAlignment="1">
      <alignment horizontal="center" vertical="center"/>
    </xf>
    <xf numFmtId="0" fontId="2" fillId="0" borderId="15" xfId="0" applyFont="1" applyBorder="1" applyAlignment="1">
      <alignment horizontal="center" vertical="center"/>
    </xf>
    <xf numFmtId="0" fontId="2" fillId="0" borderId="17"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6" borderId="15" xfId="0" applyFont="1" applyFill="1" applyBorder="1" applyAlignment="1">
      <alignment horizontal="center" vertical="center"/>
    </xf>
    <xf numFmtId="0" fontId="2" fillId="6" borderId="16" xfId="0" applyFont="1" applyFill="1" applyBorder="1" applyAlignment="1">
      <alignment horizontal="center" vertical="center"/>
    </xf>
    <xf numFmtId="14" fontId="0" fillId="7" borderId="39" xfId="0" applyNumberFormat="1" applyFill="1" applyBorder="1" applyAlignment="1">
      <alignment horizontal="center" vertical="center"/>
    </xf>
    <xf numFmtId="14" fontId="0" fillId="2" borderId="39" xfId="0" applyNumberFormat="1" applyFill="1" applyBorder="1" applyAlignment="1">
      <alignment horizontal="center" vertical="center"/>
    </xf>
    <xf numFmtId="0" fontId="0" fillId="14" borderId="45" xfId="0" applyFill="1" applyBorder="1" applyAlignment="1">
      <alignment horizontal="center" vertical="center"/>
    </xf>
    <xf numFmtId="0" fontId="0" fillId="14" borderId="46" xfId="0" applyFill="1" applyBorder="1" applyAlignment="1">
      <alignment horizontal="center" vertical="center"/>
    </xf>
    <xf numFmtId="14" fontId="0" fillId="0" borderId="1" xfId="0" applyNumberFormat="1" applyBorder="1" applyAlignment="1">
      <alignment horizontal="center"/>
    </xf>
    <xf numFmtId="14" fontId="0" fillId="15" borderId="47" xfId="0" applyNumberFormat="1" applyFill="1" applyBorder="1" applyAlignment="1">
      <alignment horizontal="center" vertical="center"/>
    </xf>
    <xf numFmtId="14" fontId="0" fillId="15" borderId="48" xfId="0" applyNumberFormat="1" applyFill="1" applyBorder="1" applyAlignment="1">
      <alignment horizontal="center" vertical="center"/>
    </xf>
    <xf numFmtId="14" fontId="0" fillId="15" borderId="38" xfId="0" applyNumberFormat="1" applyFill="1" applyBorder="1" applyAlignment="1">
      <alignment horizontal="center" vertical="center"/>
    </xf>
    <xf numFmtId="14" fontId="0" fillId="15" borderId="39" xfId="0" applyNumberFormat="1" applyFill="1" applyBorder="1" applyAlignment="1">
      <alignment horizontal="center" vertical="center"/>
    </xf>
    <xf numFmtId="166" fontId="0" fillId="15" borderId="1" xfId="0" applyNumberFormat="1" applyFill="1" applyBorder="1" applyAlignment="1">
      <alignment horizontal="center" vertical="center"/>
    </xf>
    <xf numFmtId="166" fontId="0" fillId="15" borderId="12" xfId="0" applyNumberFormat="1" applyFill="1" applyBorder="1" applyAlignment="1">
      <alignment horizontal="center" vertical="center"/>
    </xf>
    <xf numFmtId="166" fontId="0" fillId="15" borderId="4" xfId="0" applyNumberFormat="1" applyFill="1" applyBorder="1" applyAlignment="1">
      <alignment horizontal="center" vertical="center"/>
    </xf>
    <xf numFmtId="166" fontId="0" fillId="15" borderId="14" xfId="0" applyNumberFormat="1" applyFill="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14" fontId="0" fillId="16" borderId="51" xfId="0" applyNumberFormat="1" applyFill="1" applyBorder="1" applyAlignment="1">
      <alignment horizontal="center" vertical="center"/>
    </xf>
    <xf numFmtId="14" fontId="0" fillId="16" borderId="50" xfId="0" applyNumberFormat="1" applyFill="1" applyBorder="1" applyAlignment="1">
      <alignment horizontal="center" vertical="center"/>
    </xf>
    <xf numFmtId="14" fontId="0" fillId="16" borderId="38" xfId="0" applyNumberFormat="1" applyFill="1" applyBorder="1" applyAlignment="1">
      <alignment horizontal="center" vertical="center"/>
    </xf>
    <xf numFmtId="14" fontId="0" fillId="16" borderId="39" xfId="0" applyNumberFormat="1" applyFill="1" applyBorder="1" applyAlignment="1">
      <alignment horizontal="center" vertical="center"/>
    </xf>
    <xf numFmtId="166" fontId="0" fillId="16" borderId="1" xfId="0" applyNumberFormat="1" applyFill="1" applyBorder="1" applyAlignment="1">
      <alignment horizontal="center" vertical="center"/>
    </xf>
    <xf numFmtId="166" fontId="0" fillId="16" borderId="3" xfId="0" applyNumberFormat="1" applyFill="1" applyBorder="1" applyAlignment="1">
      <alignment horizontal="center" vertical="center"/>
    </xf>
    <xf numFmtId="166" fontId="0" fillId="16" borderId="2" xfId="0" applyNumberFormat="1" applyFill="1" applyBorder="1" applyAlignment="1">
      <alignment horizontal="center" vertical="center"/>
    </xf>
    <xf numFmtId="166" fontId="0" fillId="18" borderId="1" xfId="0" applyNumberFormat="1" applyFill="1" applyBorder="1" applyAlignment="1">
      <alignment horizontal="center" vertical="center"/>
    </xf>
    <xf numFmtId="14" fontId="0" fillId="17" borderId="47" xfId="0" applyNumberFormat="1" applyFill="1" applyBorder="1" applyAlignment="1">
      <alignment horizontal="center" vertical="center"/>
    </xf>
    <xf numFmtId="14" fontId="0" fillId="17" borderId="38" xfId="0" applyNumberFormat="1" applyFill="1" applyBorder="1" applyAlignment="1">
      <alignment horizontal="center" vertical="center"/>
    </xf>
    <xf numFmtId="14" fontId="0" fillId="17" borderId="39" xfId="0" applyNumberFormat="1" applyFill="1" applyBorder="1" applyAlignment="1">
      <alignment horizontal="center" vertical="center"/>
    </xf>
    <xf numFmtId="166" fontId="0" fillId="17" borderId="1" xfId="0" applyNumberFormat="1" applyFill="1" applyBorder="1" applyAlignment="1">
      <alignment horizontal="center" vertical="center"/>
    </xf>
    <xf numFmtId="166" fontId="0" fillId="17" borderId="11" xfId="0" applyNumberFormat="1" applyFill="1" applyBorder="1" applyAlignment="1">
      <alignment horizontal="center" vertical="center"/>
    </xf>
    <xf numFmtId="14" fontId="0" fillId="16" borderId="49" xfId="0" applyNumberFormat="1" applyFill="1" applyBorder="1" applyAlignment="1">
      <alignment horizontal="center" vertical="center"/>
    </xf>
    <xf numFmtId="14" fontId="0" fillId="16" borderId="48" xfId="0" applyNumberFormat="1" applyFill="1" applyBorder="1" applyAlignment="1">
      <alignment horizontal="center" vertical="center"/>
    </xf>
    <xf numFmtId="14" fontId="0" fillId="16" borderId="43" xfId="0" applyNumberFormat="1" applyFill="1" applyBorder="1" applyAlignment="1">
      <alignment horizontal="center" vertical="center"/>
    </xf>
    <xf numFmtId="14" fontId="0" fillId="16" borderId="40" xfId="0" applyNumberFormat="1" applyFill="1" applyBorder="1" applyAlignment="1">
      <alignment horizontal="center" vertical="center"/>
    </xf>
    <xf numFmtId="166" fontId="0" fillId="16" borderId="9" xfId="0" applyNumberFormat="1" applyFill="1" applyBorder="1" applyAlignment="1">
      <alignment horizontal="center" vertical="center"/>
    </xf>
    <xf numFmtId="166" fontId="0" fillId="16" borderId="12" xfId="0" applyNumberFormat="1" applyFill="1" applyBorder="1" applyAlignment="1">
      <alignment horizontal="center" vertical="center"/>
    </xf>
    <xf numFmtId="166" fontId="0" fillId="16" borderId="10" xfId="0" applyNumberFormat="1" applyFill="1" applyBorder="1" applyAlignment="1">
      <alignment horizontal="center" vertical="center"/>
    </xf>
    <xf numFmtId="166" fontId="0" fillId="16" borderId="13" xfId="0" applyNumberFormat="1" applyFill="1" applyBorder="1" applyAlignment="1">
      <alignment horizontal="center" vertical="center"/>
    </xf>
    <xf numFmtId="0" fontId="9" fillId="0" borderId="44" xfId="0" applyFont="1" applyBorder="1" applyAlignment="1">
      <alignment horizontal="center" vertical="center"/>
    </xf>
    <xf numFmtId="0" fontId="9" fillId="0" borderId="35" xfId="0" applyFont="1" applyBorder="1" applyAlignment="1">
      <alignment horizontal="center" vertical="center"/>
    </xf>
    <xf numFmtId="14" fontId="0" fillId="6" borderId="49" xfId="0" applyNumberFormat="1" applyFill="1" applyBorder="1" applyAlignment="1">
      <alignment horizontal="center" vertical="center"/>
    </xf>
    <xf numFmtId="14" fontId="0" fillId="6" borderId="48" xfId="0" applyNumberFormat="1" applyFill="1" applyBorder="1" applyAlignment="1">
      <alignment horizontal="center" vertical="center"/>
    </xf>
    <xf numFmtId="14" fontId="0" fillId="6" borderId="43" xfId="0" applyNumberFormat="1" applyFill="1" applyBorder="1" applyAlignment="1">
      <alignment horizontal="center" vertical="center"/>
    </xf>
    <xf numFmtId="14" fontId="0" fillId="6" borderId="39" xfId="0" applyNumberFormat="1" applyFill="1" applyBorder="1" applyAlignment="1">
      <alignment horizontal="center" vertical="center"/>
    </xf>
    <xf numFmtId="166" fontId="0" fillId="6" borderId="9" xfId="0" applyNumberFormat="1" applyFill="1" applyBorder="1" applyAlignment="1">
      <alignment horizontal="center" vertical="center"/>
    </xf>
    <xf numFmtId="166" fontId="0" fillId="6" borderId="12" xfId="0" applyNumberFormat="1" applyFill="1" applyBorder="1" applyAlignment="1">
      <alignment horizontal="center" vertical="center"/>
    </xf>
    <xf numFmtId="166" fontId="0" fillId="6" borderId="10" xfId="0" applyNumberFormat="1" applyFill="1" applyBorder="1" applyAlignment="1">
      <alignment horizontal="center" vertical="center"/>
    </xf>
    <xf numFmtId="166" fontId="0" fillId="6" borderId="13" xfId="0" applyNumberFormat="1" applyFill="1" applyBorder="1" applyAlignment="1">
      <alignment horizontal="center" vertical="center"/>
    </xf>
    <xf numFmtId="14" fontId="0" fillId="19" borderId="47" xfId="0" applyNumberFormat="1" applyFill="1" applyBorder="1" applyAlignment="1">
      <alignment horizontal="center" vertical="center"/>
    </xf>
    <xf numFmtId="14" fontId="0" fillId="19" borderId="48" xfId="0" applyNumberFormat="1" applyFill="1" applyBorder="1" applyAlignment="1">
      <alignment horizontal="center" vertical="center"/>
    </xf>
    <xf numFmtId="14" fontId="0" fillId="19" borderId="38" xfId="0" applyNumberFormat="1" applyFill="1" applyBorder="1" applyAlignment="1">
      <alignment horizontal="center" vertical="center"/>
    </xf>
    <xf numFmtId="14" fontId="0" fillId="19" borderId="39" xfId="0" applyNumberFormat="1" applyFill="1" applyBorder="1" applyAlignment="1">
      <alignment horizontal="center" vertical="center"/>
    </xf>
    <xf numFmtId="166" fontId="0" fillId="19" borderId="1" xfId="0" applyNumberFormat="1" applyFill="1" applyBorder="1" applyAlignment="1">
      <alignment horizontal="center" vertical="center"/>
    </xf>
    <xf numFmtId="166" fontId="0" fillId="19" borderId="12" xfId="0" applyNumberFormat="1" applyFill="1" applyBorder="1" applyAlignment="1">
      <alignment horizontal="center" vertical="center"/>
    </xf>
    <xf numFmtId="166" fontId="0" fillId="19" borderId="11" xfId="0" applyNumberFormat="1" applyFill="1" applyBorder="1" applyAlignment="1">
      <alignment horizontal="center" vertical="center"/>
    </xf>
    <xf numFmtId="166" fontId="0" fillId="19" borderId="13" xfId="0" applyNumberFormat="1" applyFill="1" applyBorder="1" applyAlignment="1">
      <alignment horizontal="center" vertical="center"/>
    </xf>
    <xf numFmtId="14" fontId="0" fillId="6" borderId="51" xfId="0" applyNumberFormat="1" applyFill="1" applyBorder="1" applyAlignment="1">
      <alignment horizontal="center" vertical="center"/>
    </xf>
    <xf numFmtId="14" fontId="0" fillId="6" borderId="50" xfId="0" applyNumberFormat="1" applyFill="1" applyBorder="1" applyAlignment="1">
      <alignment horizontal="center" vertical="center"/>
    </xf>
    <xf numFmtId="14" fontId="0" fillId="6" borderId="38" xfId="0" applyNumberFormat="1" applyFill="1" applyBorder="1" applyAlignment="1">
      <alignment horizontal="center" vertical="center"/>
    </xf>
    <xf numFmtId="166" fontId="0" fillId="6" borderId="1" xfId="0" applyNumberFormat="1" applyFill="1" applyBorder="1" applyAlignment="1">
      <alignment horizontal="center" vertical="center"/>
    </xf>
    <xf numFmtId="166" fontId="0" fillId="6" borderId="3" xfId="0" applyNumberFormat="1" applyFill="1" applyBorder="1" applyAlignment="1">
      <alignment horizontal="center" vertical="center"/>
    </xf>
    <xf numFmtId="166" fontId="0" fillId="6" borderId="2" xfId="0" applyNumberFormat="1" applyFill="1" applyBorder="1" applyAlignment="1">
      <alignment horizontal="center" vertical="center"/>
    </xf>
    <xf numFmtId="0" fontId="0" fillId="19" borderId="46" xfId="0" applyFill="1" applyBorder="1" applyAlignment="1">
      <alignment horizontal="center" vertical="center"/>
    </xf>
    <xf numFmtId="166" fontId="6" fillId="21" borderId="1" xfId="0" applyNumberFormat="1" applyFont="1" applyFill="1" applyBorder="1" applyAlignment="1">
      <alignment horizontal="center" vertical="center"/>
    </xf>
    <xf numFmtId="166" fontId="6" fillId="21" borderId="11" xfId="0" applyNumberFormat="1" applyFont="1" applyFill="1" applyBorder="1" applyAlignment="1">
      <alignment horizontal="center" vertical="center"/>
    </xf>
    <xf numFmtId="14" fontId="0" fillId="20" borderId="47" xfId="0" applyNumberFormat="1" applyFill="1" applyBorder="1" applyAlignment="1">
      <alignment horizontal="center" vertical="center"/>
    </xf>
    <xf numFmtId="14" fontId="0" fillId="20" borderId="38" xfId="0" applyNumberFormat="1" applyFill="1" applyBorder="1" applyAlignment="1">
      <alignment horizontal="center" vertical="center"/>
    </xf>
    <xf numFmtId="14" fontId="0" fillId="20" borderId="39" xfId="0" applyNumberFormat="1" applyFill="1" applyBorder="1" applyAlignment="1">
      <alignment horizontal="center" vertical="center"/>
    </xf>
    <xf numFmtId="14" fontId="0" fillId="6" borderId="40" xfId="0" applyNumberFormat="1" applyFill="1" applyBorder="1" applyAlignment="1">
      <alignment horizontal="center" vertical="center"/>
    </xf>
    <xf numFmtId="166" fontId="0" fillId="6" borderId="18" xfId="0" applyNumberFormat="1" applyFill="1" applyBorder="1" applyAlignment="1">
      <alignment horizontal="center" vertical="center"/>
    </xf>
    <xf numFmtId="166" fontId="0" fillId="6" borderId="36" xfId="0" applyNumberFormat="1" applyFill="1" applyBorder="1" applyAlignment="1">
      <alignment horizontal="center" vertical="center"/>
    </xf>
    <xf numFmtId="14" fontId="0" fillId="15" borderId="51" xfId="0" applyNumberFormat="1" applyFill="1" applyBorder="1" applyAlignment="1">
      <alignment horizontal="center" vertical="center"/>
    </xf>
    <xf numFmtId="14" fontId="0" fillId="15" borderId="43" xfId="0" applyNumberFormat="1" applyFill="1" applyBorder="1" applyAlignment="1">
      <alignment horizontal="center" vertical="center"/>
    </xf>
    <xf numFmtId="166" fontId="0" fillId="15" borderId="3" xfId="0" applyNumberFormat="1" applyFill="1" applyBorder="1" applyAlignment="1">
      <alignment horizontal="center" vertical="center"/>
    </xf>
    <xf numFmtId="166" fontId="0" fillId="15" borderId="19" xfId="0" applyNumberFormat="1" applyFill="1" applyBorder="1" applyAlignment="1">
      <alignment horizontal="center" vertical="center"/>
    </xf>
    <xf numFmtId="166" fontId="0" fillId="15" borderId="13" xfId="0" applyNumberFormat="1" applyFill="1" applyBorder="1" applyAlignment="1">
      <alignment horizontal="center" vertical="center"/>
    </xf>
    <xf numFmtId="0" fontId="0" fillId="0" borderId="45" xfId="0" applyBorder="1" applyAlignment="1">
      <alignment horizontal="center" wrapText="1"/>
    </xf>
    <xf numFmtId="0" fontId="0" fillId="0" borderId="60" xfId="0" applyBorder="1" applyAlignment="1">
      <alignment horizontal="center" wrapText="1"/>
    </xf>
    <xf numFmtId="0" fontId="0" fillId="0" borderId="33" xfId="0" applyBorder="1" applyAlignment="1">
      <alignment horizontal="center" wrapText="1"/>
    </xf>
    <xf numFmtId="0" fontId="0" fillId="0" borderId="34" xfId="0" applyBorder="1" applyAlignment="1">
      <alignment horizontal="center" wrapText="1"/>
    </xf>
    <xf numFmtId="0" fontId="0" fillId="12" borderId="46" xfId="0" applyFill="1" applyBorder="1" applyAlignment="1">
      <alignment horizontal="center" vertical="center"/>
    </xf>
    <xf numFmtId="14" fontId="0" fillId="12" borderId="51" xfId="0" applyNumberFormat="1" applyFill="1" applyBorder="1" applyAlignment="1">
      <alignment horizontal="center" vertical="center"/>
    </xf>
    <xf numFmtId="14" fontId="0" fillId="12" borderId="48" xfId="0" applyNumberFormat="1" applyFill="1" applyBorder="1" applyAlignment="1">
      <alignment horizontal="center" vertical="center"/>
    </xf>
    <xf numFmtId="14" fontId="0" fillId="12" borderId="43" xfId="0" applyNumberFormat="1" applyFill="1" applyBorder="1" applyAlignment="1">
      <alignment horizontal="center" vertical="center"/>
    </xf>
    <xf numFmtId="14" fontId="0" fillId="12" borderId="39" xfId="0" applyNumberFormat="1" applyFill="1" applyBorder="1" applyAlignment="1">
      <alignment horizontal="center" vertical="center"/>
    </xf>
    <xf numFmtId="166" fontId="0" fillId="12" borderId="3" xfId="0" applyNumberFormat="1" applyFill="1" applyBorder="1" applyAlignment="1">
      <alignment horizontal="center" vertical="center"/>
    </xf>
    <xf numFmtId="166" fontId="0" fillId="12" borderId="12" xfId="0" applyNumberFormat="1" applyFill="1" applyBorder="1" applyAlignment="1">
      <alignment horizontal="center" vertical="center"/>
    </xf>
    <xf numFmtId="166" fontId="0" fillId="12" borderId="19" xfId="0" applyNumberFormat="1" applyFill="1" applyBorder="1" applyAlignment="1">
      <alignment horizontal="center" vertical="center"/>
    </xf>
    <xf numFmtId="166" fontId="0" fillId="12" borderId="13" xfId="0" applyNumberFormat="1" applyFill="1" applyBorder="1" applyAlignment="1">
      <alignment horizontal="center" vertical="center"/>
    </xf>
    <xf numFmtId="0" fontId="2" fillId="6" borderId="17" xfId="0" applyFont="1" applyFill="1" applyBorder="1" applyAlignment="1">
      <alignment horizontal="center" vertical="center"/>
    </xf>
    <xf numFmtId="0" fontId="0" fillId="22" borderId="45" xfId="0" applyFill="1" applyBorder="1" applyAlignment="1">
      <alignment horizontal="center" wrapText="1"/>
    </xf>
    <xf numFmtId="0" fontId="0" fillId="22" borderId="46" xfId="0" applyFill="1" applyBorder="1" applyAlignment="1">
      <alignment horizontal="center"/>
    </xf>
    <xf numFmtId="14" fontId="0" fillId="23" borderId="47" xfId="0" applyNumberFormat="1" applyFill="1" applyBorder="1" applyAlignment="1">
      <alignment horizontal="center" vertical="center"/>
    </xf>
    <xf numFmtId="14" fontId="0" fillId="23" borderId="43" xfId="0" applyNumberFormat="1" applyFill="1" applyBorder="1" applyAlignment="1">
      <alignment horizontal="center" vertical="center"/>
    </xf>
    <xf numFmtId="14" fontId="0" fillId="23" borderId="39" xfId="0" applyNumberFormat="1" applyFill="1" applyBorder="1" applyAlignment="1">
      <alignment horizontal="center" vertical="center"/>
    </xf>
    <xf numFmtId="166" fontId="0" fillId="23" borderId="1" xfId="0" applyNumberFormat="1" applyFill="1" applyBorder="1" applyAlignment="1">
      <alignment horizontal="center" vertical="center"/>
    </xf>
    <xf numFmtId="166" fontId="0" fillId="23" borderId="11" xfId="0" applyNumberFormat="1" applyFill="1" applyBorder="1" applyAlignment="1">
      <alignment horizontal="center" vertical="center"/>
    </xf>
    <xf numFmtId="14" fontId="0" fillId="22" borderId="49" xfId="0" applyNumberFormat="1" applyFill="1" applyBorder="1" applyAlignment="1">
      <alignment horizontal="center" vertical="center"/>
    </xf>
    <xf numFmtId="14" fontId="0" fillId="22" borderId="48" xfId="0" applyNumberFormat="1" applyFill="1" applyBorder="1" applyAlignment="1">
      <alignment horizontal="center" vertical="center"/>
    </xf>
    <xf numFmtId="14" fontId="0" fillId="22" borderId="38" xfId="0" applyNumberFormat="1" applyFill="1" applyBorder="1" applyAlignment="1">
      <alignment horizontal="center" vertical="center"/>
    </xf>
    <xf numFmtId="14" fontId="0" fillId="22" borderId="39" xfId="0" applyNumberFormat="1" applyFill="1" applyBorder="1" applyAlignment="1">
      <alignment horizontal="center" vertical="center"/>
    </xf>
    <xf numFmtId="166" fontId="0" fillId="22" borderId="9" xfId="0" applyNumberFormat="1" applyFill="1" applyBorder="1" applyAlignment="1">
      <alignment horizontal="center" vertical="center"/>
    </xf>
    <xf numFmtId="166" fontId="0" fillId="22" borderId="12" xfId="0" applyNumberFormat="1" applyFill="1" applyBorder="1" applyAlignment="1">
      <alignment horizontal="center" vertical="center"/>
    </xf>
    <xf numFmtId="166" fontId="0" fillId="22" borderId="10" xfId="0" applyNumberFormat="1" applyFill="1" applyBorder="1" applyAlignment="1">
      <alignment horizontal="center" vertical="center"/>
    </xf>
    <xf numFmtId="166" fontId="0" fillId="22" borderId="13" xfId="0" applyNumberFormat="1" applyFill="1" applyBorder="1" applyAlignment="1">
      <alignment horizontal="center" vertical="center"/>
    </xf>
    <xf numFmtId="166" fontId="2" fillId="23" borderId="11" xfId="0" applyNumberFormat="1" applyFont="1" applyFill="1" applyBorder="1" applyAlignment="1">
      <alignment horizontal="center" vertical="center"/>
    </xf>
    <xf numFmtId="14" fontId="0" fillId="24" borderId="51" xfId="0" applyNumberFormat="1" applyFill="1" applyBorder="1" applyAlignment="1">
      <alignment horizontal="center" vertical="center"/>
    </xf>
    <xf numFmtId="14" fontId="0" fillId="24" borderId="43" xfId="0" applyNumberFormat="1" applyFill="1" applyBorder="1" applyAlignment="1">
      <alignment horizontal="center" vertical="center"/>
    </xf>
    <xf numFmtId="0" fontId="0" fillId="24" borderId="55" xfId="0" applyFill="1" applyBorder="1" applyAlignment="1">
      <alignment horizontal="center"/>
    </xf>
    <xf numFmtId="166" fontId="0" fillId="24" borderId="28" xfId="0" applyNumberFormat="1" applyFill="1" applyBorder="1" applyAlignment="1">
      <alignment horizontal="center" vertical="center"/>
    </xf>
    <xf numFmtId="166" fontId="0" fillId="24" borderId="3" xfId="0" applyNumberFormat="1" applyFill="1" applyBorder="1" applyAlignment="1">
      <alignment horizontal="center" vertical="center"/>
    </xf>
    <xf numFmtId="166" fontId="0" fillId="24" borderId="3" xfId="0" applyNumberFormat="1" applyFill="1" applyBorder="1" applyAlignment="1">
      <alignment horizontal="center" vertical="center"/>
    </xf>
    <xf numFmtId="166" fontId="0" fillId="24" borderId="19" xfId="0" applyNumberFormat="1" applyFill="1" applyBorder="1" applyAlignment="1">
      <alignment horizontal="center" vertical="center"/>
    </xf>
    <xf numFmtId="0" fontId="0" fillId="24" borderId="53" xfId="0" applyFill="1" applyBorder="1" applyAlignment="1">
      <alignment horizontal="center"/>
    </xf>
    <xf numFmtId="166" fontId="0" fillId="24" borderId="2" xfId="0" applyNumberFormat="1" applyFill="1" applyBorder="1" applyAlignment="1">
      <alignment horizontal="center" vertical="center"/>
    </xf>
    <xf numFmtId="0" fontId="0" fillId="0" borderId="46" xfId="0" applyBorder="1" applyAlignment="1">
      <alignment horizontal="center"/>
    </xf>
  </cellXfs>
  <cellStyles count="3">
    <cellStyle name="Moneda" xfId="2" builtinId="4"/>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AR"/>
              <a:t>Balance Diario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AR"/>
        </a:p>
      </c:txPr>
    </c:title>
    <c:autoTitleDeleted val="0"/>
    <c:plotArea>
      <c:layout/>
      <c:barChart>
        <c:barDir val="col"/>
        <c:grouping val="clustered"/>
        <c:varyColors val="0"/>
        <c:ser>
          <c:idx val="0"/>
          <c:order val="0"/>
          <c:spPr>
            <a:solidFill>
              <a:srgbClr val="00B050"/>
            </a:solidFill>
            <a:ln>
              <a:noFill/>
            </a:ln>
            <a:effectLst/>
          </c:spPr>
          <c:invertIfNegative val="0"/>
          <c:cat>
            <c:numRef>
              <c:f>Enero_26!$B$3:$B$56</c:f>
              <c:numCache>
                <c:formatCode>m/d/yyyy</c:formatCode>
                <c:ptCount val="54"/>
                <c:pt idx="0">
                  <c:v>46023</c:v>
                </c:pt>
                <c:pt idx="2">
                  <c:v>46024</c:v>
                </c:pt>
                <c:pt idx="4">
                  <c:v>46025</c:v>
                </c:pt>
                <c:pt idx="6">
                  <c:v>46027</c:v>
                </c:pt>
                <c:pt idx="8">
                  <c:v>46028</c:v>
                </c:pt>
                <c:pt idx="10">
                  <c:v>46029</c:v>
                </c:pt>
                <c:pt idx="12">
                  <c:v>46030</c:v>
                </c:pt>
                <c:pt idx="14">
                  <c:v>46031</c:v>
                </c:pt>
                <c:pt idx="16">
                  <c:v>46032</c:v>
                </c:pt>
                <c:pt idx="18">
                  <c:v>46034</c:v>
                </c:pt>
                <c:pt idx="20">
                  <c:v>46035</c:v>
                </c:pt>
                <c:pt idx="22">
                  <c:v>46036</c:v>
                </c:pt>
                <c:pt idx="24">
                  <c:v>46037</c:v>
                </c:pt>
                <c:pt idx="26">
                  <c:v>46038</c:v>
                </c:pt>
                <c:pt idx="28">
                  <c:v>46039</c:v>
                </c:pt>
                <c:pt idx="30">
                  <c:v>46041</c:v>
                </c:pt>
                <c:pt idx="32">
                  <c:v>46042</c:v>
                </c:pt>
                <c:pt idx="34">
                  <c:v>46043</c:v>
                </c:pt>
                <c:pt idx="36">
                  <c:v>46044</c:v>
                </c:pt>
                <c:pt idx="38">
                  <c:v>46045</c:v>
                </c:pt>
                <c:pt idx="40">
                  <c:v>46046</c:v>
                </c:pt>
                <c:pt idx="42">
                  <c:v>46048</c:v>
                </c:pt>
                <c:pt idx="44">
                  <c:v>46049</c:v>
                </c:pt>
                <c:pt idx="46">
                  <c:v>46050</c:v>
                </c:pt>
                <c:pt idx="48">
                  <c:v>46051</c:v>
                </c:pt>
                <c:pt idx="50">
                  <c:v>46052</c:v>
                </c:pt>
                <c:pt idx="52">
                  <c:v>46053</c:v>
                </c:pt>
              </c:numCache>
            </c:numRef>
          </c:cat>
          <c:val>
            <c:numRef>
              <c:f>Enero_26!$H$3:$H$56</c:f>
              <c:numCache>
                <c:formatCode>#,##0"$"</c:formatCode>
                <c:ptCount val="54"/>
                <c:pt idx="0">
                  <c:v>0</c:v>
                </c:pt>
                <c:pt idx="2">
                  <c:v>313366</c:v>
                </c:pt>
                <c:pt idx="4">
                  <c:v>416179</c:v>
                </c:pt>
                <c:pt idx="6">
                  <c:v>529898</c:v>
                </c:pt>
                <c:pt idx="8">
                  <c:v>534946</c:v>
                </c:pt>
                <c:pt idx="10">
                  <c:v>527236</c:v>
                </c:pt>
                <c:pt idx="12">
                  <c:v>827120</c:v>
                </c:pt>
                <c:pt idx="14">
                  <c:v>729150</c:v>
                </c:pt>
                <c:pt idx="16">
                  <c:v>513743</c:v>
                </c:pt>
                <c:pt idx="18">
                  <c:v>315655</c:v>
                </c:pt>
                <c:pt idx="20">
                  <c:v>757044</c:v>
                </c:pt>
                <c:pt idx="22">
                  <c:v>420681</c:v>
                </c:pt>
                <c:pt idx="24">
                  <c:v>375059</c:v>
                </c:pt>
                <c:pt idx="26">
                  <c:v>471444</c:v>
                </c:pt>
                <c:pt idx="28">
                  <c:v>363632</c:v>
                </c:pt>
                <c:pt idx="30">
                  <c:v>355934</c:v>
                </c:pt>
                <c:pt idx="32">
                  <c:v>497953</c:v>
                </c:pt>
                <c:pt idx="34">
                  <c:v>356109</c:v>
                </c:pt>
                <c:pt idx="36">
                  <c:v>349482</c:v>
                </c:pt>
                <c:pt idx="38">
                  <c:v>520384</c:v>
                </c:pt>
                <c:pt idx="40">
                  <c:v>406290</c:v>
                </c:pt>
                <c:pt idx="42">
                  <c:v>412626</c:v>
                </c:pt>
                <c:pt idx="44">
                  <c:v>560955</c:v>
                </c:pt>
                <c:pt idx="46">
                  <c:v>543980</c:v>
                </c:pt>
                <c:pt idx="48">
                  <c:v>472296</c:v>
                </c:pt>
                <c:pt idx="50">
                  <c:v>624463</c:v>
                </c:pt>
                <c:pt idx="52">
                  <c:v>585307</c:v>
                </c:pt>
              </c:numCache>
            </c:numRef>
          </c:val>
          <c:extLst>
            <c:ext xmlns:c16="http://schemas.microsoft.com/office/drawing/2014/chart" uri="{C3380CC4-5D6E-409C-BE32-E72D297353CC}">
              <c16:uniqueId val="{00000000-CCF4-43B8-9A35-E1DED8479B7E}"/>
            </c:ext>
          </c:extLst>
        </c:ser>
        <c:ser>
          <c:idx val="1"/>
          <c:order val="1"/>
          <c:spPr>
            <a:solidFill>
              <a:srgbClr val="FF0000"/>
            </a:solidFill>
            <a:ln>
              <a:noFill/>
            </a:ln>
            <a:effectLst/>
          </c:spPr>
          <c:invertIfNegative val="0"/>
          <c:cat>
            <c:numRef>
              <c:f>Enero_26!$B$3:$B$56</c:f>
              <c:numCache>
                <c:formatCode>m/d/yyyy</c:formatCode>
                <c:ptCount val="54"/>
                <c:pt idx="0">
                  <c:v>46023</c:v>
                </c:pt>
                <c:pt idx="2">
                  <c:v>46024</c:v>
                </c:pt>
                <c:pt idx="4">
                  <c:v>46025</c:v>
                </c:pt>
                <c:pt idx="6">
                  <c:v>46027</c:v>
                </c:pt>
                <c:pt idx="8">
                  <c:v>46028</c:v>
                </c:pt>
                <c:pt idx="10">
                  <c:v>46029</c:v>
                </c:pt>
                <c:pt idx="12">
                  <c:v>46030</c:v>
                </c:pt>
                <c:pt idx="14">
                  <c:v>46031</c:v>
                </c:pt>
                <c:pt idx="16">
                  <c:v>46032</c:v>
                </c:pt>
                <c:pt idx="18">
                  <c:v>46034</c:v>
                </c:pt>
                <c:pt idx="20">
                  <c:v>46035</c:v>
                </c:pt>
                <c:pt idx="22">
                  <c:v>46036</c:v>
                </c:pt>
                <c:pt idx="24">
                  <c:v>46037</c:v>
                </c:pt>
                <c:pt idx="26">
                  <c:v>46038</c:v>
                </c:pt>
                <c:pt idx="28">
                  <c:v>46039</c:v>
                </c:pt>
                <c:pt idx="30">
                  <c:v>46041</c:v>
                </c:pt>
                <c:pt idx="32">
                  <c:v>46042</c:v>
                </c:pt>
                <c:pt idx="34">
                  <c:v>46043</c:v>
                </c:pt>
                <c:pt idx="36">
                  <c:v>46044</c:v>
                </c:pt>
                <c:pt idx="38">
                  <c:v>46045</c:v>
                </c:pt>
                <c:pt idx="40">
                  <c:v>46046</c:v>
                </c:pt>
                <c:pt idx="42">
                  <c:v>46048</c:v>
                </c:pt>
                <c:pt idx="44">
                  <c:v>46049</c:v>
                </c:pt>
                <c:pt idx="46">
                  <c:v>46050</c:v>
                </c:pt>
                <c:pt idx="48">
                  <c:v>46051</c:v>
                </c:pt>
                <c:pt idx="50">
                  <c:v>46052</c:v>
                </c:pt>
                <c:pt idx="52">
                  <c:v>46053</c:v>
                </c:pt>
              </c:numCache>
            </c:numRef>
          </c:cat>
          <c:val>
            <c:numRef>
              <c:f>Enero_26!$I$3:$I$56</c:f>
              <c:numCache>
                <c:formatCode>#,##0"$"</c:formatCode>
                <c:ptCount val="54"/>
                <c:pt idx="0">
                  <c:v>0</c:v>
                </c:pt>
                <c:pt idx="2">
                  <c:v>288591</c:v>
                </c:pt>
                <c:pt idx="4">
                  <c:v>1064822</c:v>
                </c:pt>
                <c:pt idx="6">
                  <c:v>384904</c:v>
                </c:pt>
                <c:pt idx="8">
                  <c:v>232418</c:v>
                </c:pt>
                <c:pt idx="10">
                  <c:v>416982</c:v>
                </c:pt>
                <c:pt idx="12">
                  <c:v>15960</c:v>
                </c:pt>
                <c:pt idx="14">
                  <c:v>894971</c:v>
                </c:pt>
                <c:pt idx="16">
                  <c:v>91000</c:v>
                </c:pt>
                <c:pt idx="18">
                  <c:v>380845</c:v>
                </c:pt>
                <c:pt idx="20">
                  <c:v>482900</c:v>
                </c:pt>
                <c:pt idx="22">
                  <c:v>264578</c:v>
                </c:pt>
                <c:pt idx="24">
                  <c:v>195963</c:v>
                </c:pt>
                <c:pt idx="26">
                  <c:v>411395</c:v>
                </c:pt>
                <c:pt idx="28">
                  <c:v>1202781</c:v>
                </c:pt>
                <c:pt idx="30">
                  <c:v>229593</c:v>
                </c:pt>
                <c:pt idx="32">
                  <c:v>206180</c:v>
                </c:pt>
                <c:pt idx="34">
                  <c:v>422990</c:v>
                </c:pt>
                <c:pt idx="36">
                  <c:v>71830</c:v>
                </c:pt>
                <c:pt idx="38">
                  <c:v>504543</c:v>
                </c:pt>
                <c:pt idx="40">
                  <c:v>95000</c:v>
                </c:pt>
                <c:pt idx="42">
                  <c:v>366887</c:v>
                </c:pt>
                <c:pt idx="44">
                  <c:v>28000</c:v>
                </c:pt>
                <c:pt idx="46">
                  <c:v>170648</c:v>
                </c:pt>
                <c:pt idx="48">
                  <c:v>132530</c:v>
                </c:pt>
                <c:pt idx="50">
                  <c:v>296231</c:v>
                </c:pt>
                <c:pt idx="52">
                  <c:v>799210</c:v>
                </c:pt>
              </c:numCache>
            </c:numRef>
          </c:val>
          <c:extLst>
            <c:ext xmlns:c16="http://schemas.microsoft.com/office/drawing/2014/chart" uri="{C3380CC4-5D6E-409C-BE32-E72D297353CC}">
              <c16:uniqueId val="{00000001-CCF4-43B8-9A35-E1DED8479B7E}"/>
            </c:ext>
          </c:extLst>
        </c:ser>
        <c:ser>
          <c:idx val="2"/>
          <c:order val="2"/>
          <c:spPr>
            <a:solidFill>
              <a:srgbClr val="002060"/>
            </a:solidFill>
            <a:ln>
              <a:noFill/>
            </a:ln>
            <a:effectLst/>
          </c:spPr>
          <c:invertIfNegative val="0"/>
          <c:cat>
            <c:numRef>
              <c:f>Enero_26!$B$3:$B$56</c:f>
              <c:numCache>
                <c:formatCode>m/d/yyyy</c:formatCode>
                <c:ptCount val="54"/>
                <c:pt idx="0">
                  <c:v>46023</c:v>
                </c:pt>
                <c:pt idx="2">
                  <c:v>46024</c:v>
                </c:pt>
                <c:pt idx="4">
                  <c:v>46025</c:v>
                </c:pt>
                <c:pt idx="6">
                  <c:v>46027</c:v>
                </c:pt>
                <c:pt idx="8">
                  <c:v>46028</c:v>
                </c:pt>
                <c:pt idx="10">
                  <c:v>46029</c:v>
                </c:pt>
                <c:pt idx="12">
                  <c:v>46030</c:v>
                </c:pt>
                <c:pt idx="14">
                  <c:v>46031</c:v>
                </c:pt>
                <c:pt idx="16">
                  <c:v>46032</c:v>
                </c:pt>
                <c:pt idx="18">
                  <c:v>46034</c:v>
                </c:pt>
                <c:pt idx="20">
                  <c:v>46035</c:v>
                </c:pt>
                <c:pt idx="22">
                  <c:v>46036</c:v>
                </c:pt>
                <c:pt idx="24">
                  <c:v>46037</c:v>
                </c:pt>
                <c:pt idx="26">
                  <c:v>46038</c:v>
                </c:pt>
                <c:pt idx="28">
                  <c:v>46039</c:v>
                </c:pt>
                <c:pt idx="30">
                  <c:v>46041</c:v>
                </c:pt>
                <c:pt idx="32">
                  <c:v>46042</c:v>
                </c:pt>
                <c:pt idx="34">
                  <c:v>46043</c:v>
                </c:pt>
                <c:pt idx="36">
                  <c:v>46044</c:v>
                </c:pt>
                <c:pt idx="38">
                  <c:v>46045</c:v>
                </c:pt>
                <c:pt idx="40">
                  <c:v>46046</c:v>
                </c:pt>
                <c:pt idx="42">
                  <c:v>46048</c:v>
                </c:pt>
                <c:pt idx="44">
                  <c:v>46049</c:v>
                </c:pt>
                <c:pt idx="46">
                  <c:v>46050</c:v>
                </c:pt>
                <c:pt idx="48">
                  <c:v>46051</c:v>
                </c:pt>
                <c:pt idx="50">
                  <c:v>46052</c:v>
                </c:pt>
                <c:pt idx="52">
                  <c:v>46053</c:v>
                </c:pt>
              </c:numCache>
            </c:numRef>
          </c:cat>
          <c:val>
            <c:numRef>
              <c:f>Enero_26!$J$3:$J$56</c:f>
              <c:numCache>
                <c:formatCode>#,##0"$"</c:formatCode>
                <c:ptCount val="54"/>
                <c:pt idx="0">
                  <c:v>0</c:v>
                </c:pt>
                <c:pt idx="2">
                  <c:v>24775</c:v>
                </c:pt>
                <c:pt idx="4">
                  <c:v>-648643</c:v>
                </c:pt>
                <c:pt idx="6">
                  <c:v>144994</c:v>
                </c:pt>
                <c:pt idx="8">
                  <c:v>302528</c:v>
                </c:pt>
                <c:pt idx="10">
                  <c:v>110254</c:v>
                </c:pt>
                <c:pt idx="12">
                  <c:v>811160</c:v>
                </c:pt>
                <c:pt idx="14">
                  <c:v>-165821</c:v>
                </c:pt>
                <c:pt idx="16">
                  <c:v>422743</c:v>
                </c:pt>
                <c:pt idx="18">
                  <c:v>-65190</c:v>
                </c:pt>
                <c:pt idx="20">
                  <c:v>274144</c:v>
                </c:pt>
                <c:pt idx="22">
                  <c:v>156103</c:v>
                </c:pt>
                <c:pt idx="24">
                  <c:v>179096</c:v>
                </c:pt>
                <c:pt idx="26">
                  <c:v>60049</c:v>
                </c:pt>
                <c:pt idx="28">
                  <c:v>-839149</c:v>
                </c:pt>
                <c:pt idx="30">
                  <c:v>126341</c:v>
                </c:pt>
                <c:pt idx="32">
                  <c:v>291773</c:v>
                </c:pt>
                <c:pt idx="34">
                  <c:v>-66881</c:v>
                </c:pt>
                <c:pt idx="36">
                  <c:v>277652</c:v>
                </c:pt>
                <c:pt idx="38">
                  <c:v>15841</c:v>
                </c:pt>
                <c:pt idx="40">
                  <c:v>311290</c:v>
                </c:pt>
                <c:pt idx="42">
                  <c:v>45739</c:v>
                </c:pt>
                <c:pt idx="44">
                  <c:v>532955</c:v>
                </c:pt>
                <c:pt idx="46">
                  <c:v>373332</c:v>
                </c:pt>
                <c:pt idx="48">
                  <c:v>339766</c:v>
                </c:pt>
                <c:pt idx="50">
                  <c:v>328232</c:v>
                </c:pt>
                <c:pt idx="52">
                  <c:v>-213903</c:v>
                </c:pt>
              </c:numCache>
            </c:numRef>
          </c:val>
          <c:extLst>
            <c:ext xmlns:c16="http://schemas.microsoft.com/office/drawing/2014/chart" uri="{C3380CC4-5D6E-409C-BE32-E72D297353CC}">
              <c16:uniqueId val="{00000002-CCF4-43B8-9A35-E1DED8479B7E}"/>
            </c:ext>
          </c:extLst>
        </c:ser>
        <c:dLbls>
          <c:showLegendKey val="0"/>
          <c:showVal val="0"/>
          <c:showCatName val="0"/>
          <c:showSerName val="0"/>
          <c:showPercent val="0"/>
          <c:showBubbleSize val="0"/>
        </c:dLbls>
        <c:gapWidth val="100"/>
        <c:overlap val="-24"/>
        <c:axId val="1608979664"/>
        <c:axId val="1608981328"/>
      </c:barChart>
      <c:dateAx>
        <c:axId val="1608979664"/>
        <c:scaling>
          <c:orientation val="minMax"/>
        </c:scaling>
        <c:delete val="0"/>
        <c:axPos val="b"/>
        <c:numFmt formatCode="m/d/yyyy"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crossAx val="1608981328"/>
        <c:crosses val="autoZero"/>
        <c:auto val="0"/>
        <c:lblOffset val="100"/>
        <c:baseTimeUnit val="days"/>
      </c:dateAx>
      <c:valAx>
        <c:axId val="1608981328"/>
        <c:scaling>
          <c:orientation val="minMax"/>
        </c:scaling>
        <c:delete val="0"/>
        <c:axPos val="l"/>
        <c:majorGridlines>
          <c:spPr>
            <a:ln w="9525" cap="flat" cmpd="sng" algn="ctr">
              <a:solidFill>
                <a:schemeClr val="tx2">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crossAx val="1608979664"/>
        <c:crosses val="autoZero"/>
        <c:crossBetween val="between"/>
      </c:valAx>
      <c:spPr>
        <a:noFill/>
        <a:ln>
          <a:noFill/>
        </a:ln>
        <a:effectLst/>
      </c:spPr>
    </c:plotArea>
    <c:legend>
      <c:legendPos val="b"/>
      <c:layout>
        <c:manualLayout>
          <c:xMode val="edge"/>
          <c:yMode val="edge"/>
          <c:x val="0.33693108646774544"/>
          <c:y val="0.9064399717659315"/>
          <c:w val="0.32185729399397445"/>
          <c:h val="8.31161640043036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C670-4EAB-B300-939A2D0DFF42}"/>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C670-4EAB-B300-939A2D0DFF42}"/>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C670-4EAB-B300-939A2D0DFF42}"/>
              </c:ext>
            </c:extLst>
          </c:dPt>
          <c:dLbls>
            <c:dLbl>
              <c:idx val="0"/>
              <c:layout>
                <c:manualLayout>
                  <c:x val="-0.23010762076150348"/>
                  <c:y val="-7.2820119607711176E-2"/>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fld id="{1A590FDE-2208-45AC-A0CD-F82103C5D123}" type="VALUE">
                      <a:rPr lang="en-US" sz="1200" b="1">
                        <a:solidFill>
                          <a:schemeClr val="bg1"/>
                        </a:solidFill>
                      </a:rPr>
                      <a:pPr>
                        <a:defRPr sz="1200" b="1"/>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1770352838814261"/>
                      <c:h val="0.12767398957911147"/>
                    </c:manualLayout>
                  </c15:layout>
                  <c15:dlblFieldTable/>
                  <c15:showDataLabelsRange val="0"/>
                </c:ext>
                <c:ext xmlns:c16="http://schemas.microsoft.com/office/drawing/2014/chart" uri="{C3380CC4-5D6E-409C-BE32-E72D297353CC}">
                  <c16:uniqueId val="{00000001-C670-4EAB-B300-939A2D0DFF42}"/>
                </c:ext>
              </c:extLst>
            </c:dLbl>
            <c:dLbl>
              <c:idx val="1"/>
              <c:layout>
                <c:manualLayout>
                  <c:x val="0.22467191601049868"/>
                  <c:y val="-0.16326087981517282"/>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b="1"/>
                      </a:pPr>
                      <a:t>[VALOR]</a:t>
                    </a:fld>
                    <a:endParaRPr lang="es-AR"/>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670-4EAB-B300-939A2D0DFF42}"/>
                </c:ext>
              </c:extLst>
            </c:dLbl>
            <c:dLbl>
              <c:idx val="2"/>
              <c:layout>
                <c:manualLayout>
                  <c:x val="0.13877487935058147"/>
                  <c:y val="0.11312689547221159"/>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7A558896-F28C-4764-A257-B88E2E423067}" type="VALUE">
                      <a:rPr lang="en-US" sz="1100" b="1">
                        <a:solidFill>
                          <a:schemeClr val="bg1"/>
                        </a:solidFill>
                      </a:rPr>
                      <a:pPr>
                        <a:defRPr b="1"/>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15833974558777186"/>
                      <c:h val="9.6754049497314712E-2"/>
                    </c:manualLayout>
                  </c15:layout>
                  <c15:dlblFieldTable/>
                  <c15:showDataLabelsRange val="0"/>
                </c:ext>
                <c:ext xmlns:c16="http://schemas.microsoft.com/office/drawing/2014/chart" uri="{C3380CC4-5D6E-409C-BE32-E72D297353CC}">
                  <c16:uniqueId val="{00000005-C670-4EAB-B300-939A2D0DFF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Enero_26!$H$2:$J$2</c:f>
              <c:strCache>
                <c:ptCount val="3"/>
                <c:pt idx="0">
                  <c:v>Ingreso</c:v>
                </c:pt>
                <c:pt idx="1">
                  <c:v>Gasto total</c:v>
                </c:pt>
                <c:pt idx="2">
                  <c:v>Ganancia</c:v>
                </c:pt>
              </c:strCache>
            </c:strRef>
          </c:cat>
          <c:val>
            <c:numRef>
              <c:f>Enero_26!$H$57:$J$57</c:f>
              <c:numCache>
                <c:formatCode>#,##0"$"</c:formatCode>
                <c:ptCount val="3"/>
                <c:pt idx="0">
                  <c:v>12780932</c:v>
                </c:pt>
                <c:pt idx="1">
                  <c:v>9651752</c:v>
                </c:pt>
                <c:pt idx="2">
                  <c:v>3129180</c:v>
                </c:pt>
              </c:numCache>
            </c:numRef>
          </c:val>
          <c:extLst>
            <c:ext xmlns:c16="http://schemas.microsoft.com/office/drawing/2014/chart" uri="{C3380CC4-5D6E-409C-BE32-E72D297353CC}">
              <c16:uniqueId val="{00000006-C670-4EAB-B300-939A2D0DFF42}"/>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AR"/>
              <a:t>Balance Diario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AR"/>
        </a:p>
      </c:txPr>
    </c:title>
    <c:autoTitleDeleted val="0"/>
    <c:plotArea>
      <c:layout/>
      <c:barChart>
        <c:barDir val="col"/>
        <c:grouping val="clustered"/>
        <c:varyColors val="0"/>
        <c:ser>
          <c:idx val="0"/>
          <c:order val="0"/>
          <c:spPr>
            <a:solidFill>
              <a:srgbClr val="00B050"/>
            </a:solidFill>
            <a:ln>
              <a:noFill/>
            </a:ln>
            <a:effectLst/>
          </c:spPr>
          <c:invertIfNegative val="0"/>
          <c:cat>
            <c:numRef>
              <c:f>Febrero_26!$B$3:$B$50</c:f>
              <c:numCache>
                <c:formatCode>m/d/yyyy</c:formatCode>
                <c:ptCount val="48"/>
                <c:pt idx="0">
                  <c:v>46055</c:v>
                </c:pt>
                <c:pt idx="2">
                  <c:v>46056</c:v>
                </c:pt>
                <c:pt idx="4">
                  <c:v>46057</c:v>
                </c:pt>
                <c:pt idx="6">
                  <c:v>46058</c:v>
                </c:pt>
                <c:pt idx="8">
                  <c:v>46059</c:v>
                </c:pt>
                <c:pt idx="10">
                  <c:v>46060</c:v>
                </c:pt>
                <c:pt idx="12">
                  <c:v>46062</c:v>
                </c:pt>
                <c:pt idx="14">
                  <c:v>46063</c:v>
                </c:pt>
                <c:pt idx="16">
                  <c:v>46064</c:v>
                </c:pt>
                <c:pt idx="18">
                  <c:v>46065</c:v>
                </c:pt>
                <c:pt idx="20">
                  <c:v>46066</c:v>
                </c:pt>
                <c:pt idx="22">
                  <c:v>46067</c:v>
                </c:pt>
                <c:pt idx="24">
                  <c:v>46069</c:v>
                </c:pt>
                <c:pt idx="26">
                  <c:v>46070</c:v>
                </c:pt>
                <c:pt idx="28">
                  <c:v>46071</c:v>
                </c:pt>
                <c:pt idx="30">
                  <c:v>46072</c:v>
                </c:pt>
                <c:pt idx="32">
                  <c:v>46073</c:v>
                </c:pt>
                <c:pt idx="34">
                  <c:v>46074</c:v>
                </c:pt>
                <c:pt idx="36">
                  <c:v>46076</c:v>
                </c:pt>
                <c:pt idx="38">
                  <c:v>46077</c:v>
                </c:pt>
                <c:pt idx="40">
                  <c:v>46078</c:v>
                </c:pt>
                <c:pt idx="42">
                  <c:v>46079</c:v>
                </c:pt>
                <c:pt idx="44">
                  <c:v>46080</c:v>
                </c:pt>
                <c:pt idx="46">
                  <c:v>46081</c:v>
                </c:pt>
              </c:numCache>
            </c:numRef>
          </c:cat>
          <c:val>
            <c:numRef>
              <c:f>Febrero_26!$H$3:$H$50</c:f>
              <c:numCache>
                <c:formatCode>#,##0"$"</c:formatCode>
                <c:ptCount val="48"/>
                <c:pt idx="0">
                  <c:v>525840</c:v>
                </c:pt>
                <c:pt idx="2">
                  <c:v>724147</c:v>
                </c:pt>
                <c:pt idx="4">
                  <c:v>819228</c:v>
                </c:pt>
                <c:pt idx="6">
                  <c:v>905031</c:v>
                </c:pt>
                <c:pt idx="8">
                  <c:v>769716</c:v>
                </c:pt>
                <c:pt idx="10">
                  <c:v>337095</c:v>
                </c:pt>
                <c:pt idx="12">
                  <c:v>655625</c:v>
                </c:pt>
                <c:pt idx="14">
                  <c:v>488803</c:v>
                </c:pt>
                <c:pt idx="16">
                  <c:v>729967</c:v>
                </c:pt>
                <c:pt idx="18">
                  <c:v>703439</c:v>
                </c:pt>
                <c:pt idx="20">
                  <c:v>913537</c:v>
                </c:pt>
                <c:pt idx="22">
                  <c:v>412184</c:v>
                </c:pt>
                <c:pt idx="24">
                  <c:v>0</c:v>
                </c:pt>
                <c:pt idx="26">
                  <c:v>0</c:v>
                </c:pt>
                <c:pt idx="28">
                  <c:v>0</c:v>
                </c:pt>
                <c:pt idx="30">
                  <c:v>0</c:v>
                </c:pt>
                <c:pt idx="32">
                  <c:v>0</c:v>
                </c:pt>
                <c:pt idx="34">
                  <c:v>0</c:v>
                </c:pt>
                <c:pt idx="36">
                  <c:v>0</c:v>
                </c:pt>
                <c:pt idx="38">
                  <c:v>0</c:v>
                </c:pt>
                <c:pt idx="40">
                  <c:v>0</c:v>
                </c:pt>
                <c:pt idx="42">
                  <c:v>0</c:v>
                </c:pt>
                <c:pt idx="44">
                  <c:v>0</c:v>
                </c:pt>
                <c:pt idx="46">
                  <c:v>0</c:v>
                </c:pt>
              </c:numCache>
            </c:numRef>
          </c:val>
          <c:extLst>
            <c:ext xmlns:c16="http://schemas.microsoft.com/office/drawing/2014/chart" uri="{C3380CC4-5D6E-409C-BE32-E72D297353CC}">
              <c16:uniqueId val="{00000000-B429-45C3-B93C-0ADD273D5347}"/>
            </c:ext>
          </c:extLst>
        </c:ser>
        <c:ser>
          <c:idx val="1"/>
          <c:order val="1"/>
          <c:spPr>
            <a:solidFill>
              <a:srgbClr val="FF0000"/>
            </a:solidFill>
            <a:ln>
              <a:noFill/>
            </a:ln>
            <a:effectLst/>
          </c:spPr>
          <c:invertIfNegative val="0"/>
          <c:cat>
            <c:numRef>
              <c:f>Febrero_26!$B$3:$B$50</c:f>
              <c:numCache>
                <c:formatCode>m/d/yyyy</c:formatCode>
                <c:ptCount val="48"/>
                <c:pt idx="0">
                  <c:v>46055</c:v>
                </c:pt>
                <c:pt idx="2">
                  <c:v>46056</c:v>
                </c:pt>
                <c:pt idx="4">
                  <c:v>46057</c:v>
                </c:pt>
                <c:pt idx="6">
                  <c:v>46058</c:v>
                </c:pt>
                <c:pt idx="8">
                  <c:v>46059</c:v>
                </c:pt>
                <c:pt idx="10">
                  <c:v>46060</c:v>
                </c:pt>
                <c:pt idx="12">
                  <c:v>46062</c:v>
                </c:pt>
                <c:pt idx="14">
                  <c:v>46063</c:v>
                </c:pt>
                <c:pt idx="16">
                  <c:v>46064</c:v>
                </c:pt>
                <c:pt idx="18">
                  <c:v>46065</c:v>
                </c:pt>
                <c:pt idx="20">
                  <c:v>46066</c:v>
                </c:pt>
                <c:pt idx="22">
                  <c:v>46067</c:v>
                </c:pt>
                <c:pt idx="24">
                  <c:v>46069</c:v>
                </c:pt>
                <c:pt idx="26">
                  <c:v>46070</c:v>
                </c:pt>
                <c:pt idx="28">
                  <c:v>46071</c:v>
                </c:pt>
                <c:pt idx="30">
                  <c:v>46072</c:v>
                </c:pt>
                <c:pt idx="32">
                  <c:v>46073</c:v>
                </c:pt>
                <c:pt idx="34">
                  <c:v>46074</c:v>
                </c:pt>
                <c:pt idx="36">
                  <c:v>46076</c:v>
                </c:pt>
                <c:pt idx="38">
                  <c:v>46077</c:v>
                </c:pt>
                <c:pt idx="40">
                  <c:v>46078</c:v>
                </c:pt>
                <c:pt idx="42">
                  <c:v>46079</c:v>
                </c:pt>
                <c:pt idx="44">
                  <c:v>46080</c:v>
                </c:pt>
                <c:pt idx="46">
                  <c:v>46081</c:v>
                </c:pt>
              </c:numCache>
            </c:numRef>
          </c:cat>
          <c:val>
            <c:numRef>
              <c:f>Febrero_26!$I$3:$I$50</c:f>
              <c:numCache>
                <c:formatCode>#,##0"$"</c:formatCode>
                <c:ptCount val="48"/>
                <c:pt idx="0">
                  <c:v>233452</c:v>
                </c:pt>
                <c:pt idx="2">
                  <c:v>634494</c:v>
                </c:pt>
                <c:pt idx="4">
                  <c:v>745164</c:v>
                </c:pt>
                <c:pt idx="6">
                  <c:v>349246</c:v>
                </c:pt>
                <c:pt idx="8">
                  <c:v>557746</c:v>
                </c:pt>
                <c:pt idx="10">
                  <c:v>371000</c:v>
                </c:pt>
                <c:pt idx="12">
                  <c:v>290612</c:v>
                </c:pt>
                <c:pt idx="14">
                  <c:v>760757</c:v>
                </c:pt>
                <c:pt idx="16">
                  <c:v>527627</c:v>
                </c:pt>
                <c:pt idx="18">
                  <c:v>475493</c:v>
                </c:pt>
                <c:pt idx="20">
                  <c:v>764899</c:v>
                </c:pt>
                <c:pt idx="22">
                  <c:v>909033</c:v>
                </c:pt>
                <c:pt idx="24">
                  <c:v>0</c:v>
                </c:pt>
                <c:pt idx="26">
                  <c:v>0</c:v>
                </c:pt>
                <c:pt idx="28">
                  <c:v>0</c:v>
                </c:pt>
                <c:pt idx="30">
                  <c:v>0</c:v>
                </c:pt>
                <c:pt idx="32">
                  <c:v>0</c:v>
                </c:pt>
                <c:pt idx="34">
                  <c:v>0</c:v>
                </c:pt>
                <c:pt idx="36">
                  <c:v>0</c:v>
                </c:pt>
                <c:pt idx="38">
                  <c:v>0</c:v>
                </c:pt>
                <c:pt idx="40">
                  <c:v>0</c:v>
                </c:pt>
                <c:pt idx="42">
                  <c:v>0</c:v>
                </c:pt>
                <c:pt idx="44">
                  <c:v>0</c:v>
                </c:pt>
                <c:pt idx="46">
                  <c:v>0</c:v>
                </c:pt>
              </c:numCache>
            </c:numRef>
          </c:val>
          <c:extLst>
            <c:ext xmlns:c16="http://schemas.microsoft.com/office/drawing/2014/chart" uri="{C3380CC4-5D6E-409C-BE32-E72D297353CC}">
              <c16:uniqueId val="{00000001-B429-45C3-B93C-0ADD273D5347}"/>
            </c:ext>
          </c:extLst>
        </c:ser>
        <c:ser>
          <c:idx val="2"/>
          <c:order val="2"/>
          <c:spPr>
            <a:solidFill>
              <a:srgbClr val="002060"/>
            </a:solidFill>
            <a:ln>
              <a:noFill/>
            </a:ln>
            <a:effectLst/>
          </c:spPr>
          <c:invertIfNegative val="0"/>
          <c:cat>
            <c:numRef>
              <c:f>Febrero_26!$B$3:$B$50</c:f>
              <c:numCache>
                <c:formatCode>m/d/yyyy</c:formatCode>
                <c:ptCount val="48"/>
                <c:pt idx="0">
                  <c:v>46055</c:v>
                </c:pt>
                <c:pt idx="2">
                  <c:v>46056</c:v>
                </c:pt>
                <c:pt idx="4">
                  <c:v>46057</c:v>
                </c:pt>
                <c:pt idx="6">
                  <c:v>46058</c:v>
                </c:pt>
                <c:pt idx="8">
                  <c:v>46059</c:v>
                </c:pt>
                <c:pt idx="10">
                  <c:v>46060</c:v>
                </c:pt>
                <c:pt idx="12">
                  <c:v>46062</c:v>
                </c:pt>
                <c:pt idx="14">
                  <c:v>46063</c:v>
                </c:pt>
                <c:pt idx="16">
                  <c:v>46064</c:v>
                </c:pt>
                <c:pt idx="18">
                  <c:v>46065</c:v>
                </c:pt>
                <c:pt idx="20">
                  <c:v>46066</c:v>
                </c:pt>
                <c:pt idx="22">
                  <c:v>46067</c:v>
                </c:pt>
                <c:pt idx="24">
                  <c:v>46069</c:v>
                </c:pt>
                <c:pt idx="26">
                  <c:v>46070</c:v>
                </c:pt>
                <c:pt idx="28">
                  <c:v>46071</c:v>
                </c:pt>
                <c:pt idx="30">
                  <c:v>46072</c:v>
                </c:pt>
                <c:pt idx="32">
                  <c:v>46073</c:v>
                </c:pt>
                <c:pt idx="34">
                  <c:v>46074</c:v>
                </c:pt>
                <c:pt idx="36">
                  <c:v>46076</c:v>
                </c:pt>
                <c:pt idx="38">
                  <c:v>46077</c:v>
                </c:pt>
                <c:pt idx="40">
                  <c:v>46078</c:v>
                </c:pt>
                <c:pt idx="42">
                  <c:v>46079</c:v>
                </c:pt>
                <c:pt idx="44">
                  <c:v>46080</c:v>
                </c:pt>
                <c:pt idx="46">
                  <c:v>46081</c:v>
                </c:pt>
              </c:numCache>
            </c:numRef>
          </c:cat>
          <c:val>
            <c:numRef>
              <c:f>Febrero_26!$J$3:$J$50</c:f>
              <c:numCache>
                <c:formatCode>#,##0"$"</c:formatCode>
                <c:ptCount val="48"/>
                <c:pt idx="0">
                  <c:v>292388</c:v>
                </c:pt>
                <c:pt idx="2">
                  <c:v>89653</c:v>
                </c:pt>
                <c:pt idx="4">
                  <c:v>74064</c:v>
                </c:pt>
                <c:pt idx="6">
                  <c:v>555785</c:v>
                </c:pt>
                <c:pt idx="8">
                  <c:v>211970</c:v>
                </c:pt>
                <c:pt idx="10">
                  <c:v>-33905</c:v>
                </c:pt>
                <c:pt idx="12">
                  <c:v>365013</c:v>
                </c:pt>
                <c:pt idx="14">
                  <c:v>-271954</c:v>
                </c:pt>
                <c:pt idx="16">
                  <c:v>202340</c:v>
                </c:pt>
                <c:pt idx="18">
                  <c:v>227946</c:v>
                </c:pt>
                <c:pt idx="20">
                  <c:v>148638</c:v>
                </c:pt>
                <c:pt idx="22">
                  <c:v>-496849</c:v>
                </c:pt>
                <c:pt idx="24">
                  <c:v>0</c:v>
                </c:pt>
                <c:pt idx="26">
                  <c:v>0</c:v>
                </c:pt>
                <c:pt idx="28">
                  <c:v>0</c:v>
                </c:pt>
                <c:pt idx="30">
                  <c:v>0</c:v>
                </c:pt>
                <c:pt idx="32">
                  <c:v>0</c:v>
                </c:pt>
                <c:pt idx="34">
                  <c:v>0</c:v>
                </c:pt>
                <c:pt idx="36">
                  <c:v>0</c:v>
                </c:pt>
                <c:pt idx="38">
                  <c:v>0</c:v>
                </c:pt>
                <c:pt idx="40">
                  <c:v>0</c:v>
                </c:pt>
                <c:pt idx="42">
                  <c:v>0</c:v>
                </c:pt>
                <c:pt idx="44">
                  <c:v>0</c:v>
                </c:pt>
                <c:pt idx="46">
                  <c:v>0</c:v>
                </c:pt>
              </c:numCache>
            </c:numRef>
          </c:val>
          <c:extLst>
            <c:ext xmlns:c16="http://schemas.microsoft.com/office/drawing/2014/chart" uri="{C3380CC4-5D6E-409C-BE32-E72D297353CC}">
              <c16:uniqueId val="{00000002-B429-45C3-B93C-0ADD273D5347}"/>
            </c:ext>
          </c:extLst>
        </c:ser>
        <c:dLbls>
          <c:showLegendKey val="0"/>
          <c:showVal val="0"/>
          <c:showCatName val="0"/>
          <c:showSerName val="0"/>
          <c:showPercent val="0"/>
          <c:showBubbleSize val="0"/>
        </c:dLbls>
        <c:gapWidth val="100"/>
        <c:overlap val="-24"/>
        <c:axId val="1608979664"/>
        <c:axId val="1608981328"/>
      </c:barChart>
      <c:dateAx>
        <c:axId val="1608979664"/>
        <c:scaling>
          <c:orientation val="minMax"/>
        </c:scaling>
        <c:delete val="0"/>
        <c:axPos val="b"/>
        <c:numFmt formatCode="m/d/yyyy"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crossAx val="1608981328"/>
        <c:crosses val="autoZero"/>
        <c:auto val="0"/>
        <c:lblOffset val="100"/>
        <c:baseTimeUnit val="days"/>
      </c:dateAx>
      <c:valAx>
        <c:axId val="1608981328"/>
        <c:scaling>
          <c:orientation val="minMax"/>
        </c:scaling>
        <c:delete val="0"/>
        <c:axPos val="l"/>
        <c:majorGridlines>
          <c:spPr>
            <a:ln w="9525" cap="flat" cmpd="sng" algn="ctr">
              <a:solidFill>
                <a:schemeClr val="tx2">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crossAx val="1608979664"/>
        <c:crosses val="autoZero"/>
        <c:crossBetween val="between"/>
      </c:valAx>
      <c:spPr>
        <a:noFill/>
        <a:ln>
          <a:noFill/>
        </a:ln>
        <a:effectLst/>
      </c:spPr>
    </c:plotArea>
    <c:legend>
      <c:legendPos val="b"/>
      <c:layout>
        <c:manualLayout>
          <c:xMode val="edge"/>
          <c:yMode val="edge"/>
          <c:x val="0.33693108646774544"/>
          <c:y val="0.9064399717659315"/>
          <c:w val="0.32185729399397445"/>
          <c:h val="8.31161640043036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D3A9-4A96-8485-F9ECFD14C2FC}"/>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D3A9-4A96-8485-F9ECFD14C2FC}"/>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D3A9-4A96-8485-F9ECFD14C2FC}"/>
              </c:ext>
            </c:extLst>
          </c:dPt>
          <c:dLbls>
            <c:dLbl>
              <c:idx val="0"/>
              <c:layout>
                <c:manualLayout>
                  <c:x val="-0.23010762076150348"/>
                  <c:y val="-7.2820119607711176E-2"/>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fld id="{1A590FDE-2208-45AC-A0CD-F82103C5D123}" type="VALUE">
                      <a:rPr lang="en-US" sz="1200" b="1">
                        <a:solidFill>
                          <a:schemeClr val="bg1"/>
                        </a:solidFill>
                      </a:rPr>
                      <a:pPr>
                        <a:defRPr sz="1200" b="1"/>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1770352838814261"/>
                      <c:h val="0.12767398957911147"/>
                    </c:manualLayout>
                  </c15:layout>
                  <c15:dlblFieldTable/>
                  <c15:showDataLabelsRange val="0"/>
                </c:ext>
                <c:ext xmlns:c16="http://schemas.microsoft.com/office/drawing/2014/chart" uri="{C3380CC4-5D6E-409C-BE32-E72D297353CC}">
                  <c16:uniqueId val="{00000001-D3A9-4A96-8485-F9ECFD14C2FC}"/>
                </c:ext>
              </c:extLst>
            </c:dLbl>
            <c:dLbl>
              <c:idx val="1"/>
              <c:layout>
                <c:manualLayout>
                  <c:x val="0.22467191601049868"/>
                  <c:y val="-0.16326087981517282"/>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b="1"/>
                      </a:pPr>
                      <a:t>[VALOR]</a:t>
                    </a:fld>
                    <a:endParaRPr lang="es-AR"/>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3A9-4A96-8485-F9ECFD14C2FC}"/>
                </c:ext>
              </c:extLst>
            </c:dLbl>
            <c:dLbl>
              <c:idx val="2"/>
              <c:layout>
                <c:manualLayout>
                  <c:x val="0.13877487935058147"/>
                  <c:y val="0.11312689547221159"/>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7A558896-F28C-4764-A257-B88E2E423067}" type="VALUE">
                      <a:rPr lang="en-US" sz="1100" b="1">
                        <a:solidFill>
                          <a:schemeClr val="bg1"/>
                        </a:solidFill>
                      </a:rPr>
                      <a:pPr>
                        <a:defRPr b="1"/>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15833974558777186"/>
                      <c:h val="9.6754049497314712E-2"/>
                    </c:manualLayout>
                  </c15:layout>
                  <c15:dlblFieldTable/>
                  <c15:showDataLabelsRange val="0"/>
                </c:ext>
                <c:ext xmlns:c16="http://schemas.microsoft.com/office/drawing/2014/chart" uri="{C3380CC4-5D6E-409C-BE32-E72D297353CC}">
                  <c16:uniqueId val="{00000005-D3A9-4A96-8485-F9ECFD14C2F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Febrero_26!$H$2:$J$2</c:f>
              <c:strCache>
                <c:ptCount val="3"/>
                <c:pt idx="0">
                  <c:v>Ingreso</c:v>
                </c:pt>
                <c:pt idx="1">
                  <c:v>Gasto total</c:v>
                </c:pt>
                <c:pt idx="2">
                  <c:v>Ganancia</c:v>
                </c:pt>
              </c:strCache>
            </c:strRef>
          </c:cat>
          <c:val>
            <c:numRef>
              <c:f>Febrero_26!$H$51:$J$51</c:f>
              <c:numCache>
                <c:formatCode>#,##0"$"</c:formatCode>
                <c:ptCount val="3"/>
                <c:pt idx="0">
                  <c:v>7984612</c:v>
                </c:pt>
                <c:pt idx="1">
                  <c:v>6619523</c:v>
                </c:pt>
                <c:pt idx="2">
                  <c:v>1365089</c:v>
                </c:pt>
              </c:numCache>
            </c:numRef>
          </c:val>
          <c:extLst>
            <c:ext xmlns:c16="http://schemas.microsoft.com/office/drawing/2014/chart" uri="{C3380CC4-5D6E-409C-BE32-E72D297353CC}">
              <c16:uniqueId val="{00000006-D3A9-4A96-8485-F9ECFD14C2FC}"/>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b="1"/>
              <a:t>Análisis</a:t>
            </a:r>
            <a:r>
              <a:rPr lang="es-AR" b="1" baseline="0"/>
              <a:t> Mensual</a:t>
            </a:r>
            <a:endParaRPr lang="es-A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manualLayout>
          <c:layoutTarget val="inner"/>
          <c:xMode val="edge"/>
          <c:yMode val="edge"/>
          <c:x val="5.5553303998764861E-2"/>
          <c:y val="0.15669778032712797"/>
          <c:w val="0.93847151459008804"/>
          <c:h val="0.6189535586402215"/>
        </c:manualLayout>
      </c:layout>
      <c:barChart>
        <c:barDir val="col"/>
        <c:grouping val="clustered"/>
        <c:varyColors val="0"/>
        <c:ser>
          <c:idx val="0"/>
          <c:order val="0"/>
          <c:tx>
            <c:strRef>
              <c:f>Cash_2026!$A$2</c:f>
              <c:strCache>
                <c:ptCount val="1"/>
                <c:pt idx="0">
                  <c:v>Ingreso</c:v>
                </c:pt>
              </c:strCache>
            </c:strRef>
          </c:tx>
          <c:spPr>
            <a:solidFill>
              <a:srgbClr val="00B050"/>
            </a:solidFill>
            <a:ln>
              <a:noFill/>
            </a:ln>
            <a:effectLst/>
          </c:spPr>
          <c:invertIfNegative val="0"/>
          <c:dLbls>
            <c:dLbl>
              <c:idx val="2"/>
              <c:layout>
                <c:manualLayout>
                  <c:x val="1.4705882352941176E-2"/>
                  <c:y val="-1.32450331125827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84-4DB1-807A-3F2F934163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Cash_2026!$B$1:$M$1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Cash_2026!$B$2:$M$2</c:f>
              <c:numCache>
                <c:formatCode>#,##0"$"</c:formatCode>
                <c:ptCount val="12"/>
                <c:pt idx="0">
                  <c:v>12780932</c:v>
                </c:pt>
                <c:pt idx="1">
                  <c:v>7984612</c:v>
                </c:pt>
              </c:numCache>
            </c:numRef>
          </c:val>
          <c:extLst>
            <c:ext xmlns:c16="http://schemas.microsoft.com/office/drawing/2014/chart" uri="{C3380CC4-5D6E-409C-BE32-E72D297353CC}">
              <c16:uniqueId val="{00000001-1F84-4DB1-807A-3F2F93416307}"/>
            </c:ext>
          </c:extLst>
        </c:ser>
        <c:ser>
          <c:idx val="1"/>
          <c:order val="1"/>
          <c:tx>
            <c:strRef>
              <c:f>Cash_2026!$A$3</c:f>
              <c:strCache>
                <c:ptCount val="1"/>
                <c:pt idx="0">
                  <c:v>Gasto</c:v>
                </c:pt>
              </c:strCache>
            </c:strRef>
          </c:tx>
          <c:spPr>
            <a:solidFill>
              <a:srgbClr val="FF0000"/>
            </a:solidFill>
            <a:ln>
              <a:noFill/>
            </a:ln>
            <a:effectLst/>
          </c:spPr>
          <c:invertIfNegative val="0"/>
          <c:dLbls>
            <c:dLbl>
              <c:idx val="0"/>
              <c:layout>
                <c:manualLayout>
                  <c:x val="3.31674958540630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84-4DB1-807A-3F2F93416307}"/>
                </c:ext>
              </c:extLst>
            </c:dLbl>
            <c:dLbl>
              <c:idx val="1"/>
              <c:layout>
                <c:manualLayout>
                  <c:x val="3.53786622443338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84-4DB1-807A-3F2F93416307}"/>
                </c:ext>
              </c:extLst>
            </c:dLbl>
            <c:dLbl>
              <c:idx val="2"/>
              <c:layout>
                <c:manualLayout>
                  <c:x val="1.2254901960784255E-2"/>
                  <c:y val="-1.32450331125827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84-4DB1-807A-3F2F934163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Cash_2026!$B$1:$M$1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Cash_2026!$B$3:$M$3</c:f>
              <c:numCache>
                <c:formatCode>#,##0"$"</c:formatCode>
                <c:ptCount val="12"/>
                <c:pt idx="0">
                  <c:v>9651752</c:v>
                </c:pt>
                <c:pt idx="1">
                  <c:v>6619523</c:v>
                </c:pt>
              </c:numCache>
            </c:numRef>
          </c:val>
          <c:extLst>
            <c:ext xmlns:c16="http://schemas.microsoft.com/office/drawing/2014/chart" uri="{C3380CC4-5D6E-409C-BE32-E72D297353CC}">
              <c16:uniqueId val="{00000005-1F84-4DB1-807A-3F2F93416307}"/>
            </c:ext>
          </c:extLst>
        </c:ser>
        <c:ser>
          <c:idx val="2"/>
          <c:order val="2"/>
          <c:tx>
            <c:strRef>
              <c:f>Cash_2026!$A$4</c:f>
              <c:strCache>
                <c:ptCount val="1"/>
                <c:pt idx="0">
                  <c:v>Ganancia</c:v>
                </c:pt>
              </c:strCache>
            </c:strRef>
          </c:tx>
          <c:spPr>
            <a:solidFill>
              <a:srgbClr val="002060"/>
            </a:solidFill>
            <a:ln>
              <a:noFill/>
            </a:ln>
            <a:effectLst/>
          </c:spPr>
          <c:invertIfNegative val="0"/>
          <c:dLbls>
            <c:dLbl>
              <c:idx val="0"/>
              <c:layout>
                <c:manualLayout>
                  <c:x val="2.653399668325041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F84-4DB1-807A-3F2F93416307}"/>
                </c:ext>
              </c:extLst>
            </c:dLbl>
            <c:dLbl>
              <c:idx val="1"/>
              <c:layout>
                <c:manualLayout>
                  <c:x val="1.0531496062992127E-2"/>
                  <c:y val="-2.6490066225165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84-4DB1-807A-3F2F93416307}"/>
                </c:ext>
              </c:extLst>
            </c:dLbl>
            <c:dLbl>
              <c:idx val="2"/>
              <c:layout>
                <c:manualLayout>
                  <c:x val="1.9607843137254902E-2"/>
                  <c:y val="-1.7660044150110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F84-4DB1-807A-3F2F934163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Cash_2026!$B$1:$M$1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Cash_2026!$B$4:$M$4</c:f>
              <c:numCache>
                <c:formatCode>#,##0"$"</c:formatCode>
                <c:ptCount val="12"/>
                <c:pt idx="0">
                  <c:v>3129180</c:v>
                </c:pt>
                <c:pt idx="1">
                  <c:v>1365089</c:v>
                </c:pt>
              </c:numCache>
            </c:numRef>
          </c:val>
          <c:extLst>
            <c:ext xmlns:c16="http://schemas.microsoft.com/office/drawing/2014/chart" uri="{C3380CC4-5D6E-409C-BE32-E72D297353CC}">
              <c16:uniqueId val="{00000009-1F84-4DB1-807A-3F2F93416307}"/>
            </c:ext>
          </c:extLst>
        </c:ser>
        <c:dLbls>
          <c:showLegendKey val="0"/>
          <c:showVal val="0"/>
          <c:showCatName val="0"/>
          <c:showSerName val="0"/>
          <c:showPercent val="0"/>
          <c:showBubbleSize val="0"/>
        </c:dLbls>
        <c:gapWidth val="219"/>
        <c:overlap val="-27"/>
        <c:axId val="2089967807"/>
        <c:axId val="2089971135"/>
      </c:barChart>
      <c:catAx>
        <c:axId val="208996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89971135"/>
        <c:crosses val="autoZero"/>
        <c:auto val="1"/>
        <c:lblAlgn val="ctr"/>
        <c:lblOffset val="100"/>
        <c:noMultiLvlLbl val="0"/>
      </c:catAx>
      <c:valAx>
        <c:axId val="2089971135"/>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89967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b="1"/>
              <a:t>Ingreso</a:t>
            </a:r>
            <a:r>
              <a:rPr lang="es-AR" b="1" baseline="0"/>
              <a:t> vs Ganancia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92D050"/>
            </a:solidFill>
            <a:ln>
              <a:noFill/>
            </a:ln>
            <a:effectLst/>
            <a:sp3d/>
          </c:spPr>
          <c:invertIfNegative val="0"/>
          <c:dLbls>
            <c:dLbl>
              <c:idx val="1"/>
              <c:layout>
                <c:manualLayout>
                  <c:x val="-1.8746338605741066E-2"/>
                  <c:y val="-8.85657708882417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99-4332-8122-23F02C2AEA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Cash_2026!$A$25:$A$36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Cash_2026!$B$25:$B$36</c:f>
              <c:numCache>
                <c:formatCode>#,##0"$"</c:formatCode>
                <c:ptCount val="12"/>
                <c:pt idx="0">
                  <c:v>12780932</c:v>
                </c:pt>
              </c:numCache>
            </c:numRef>
          </c:val>
          <c:extLst>
            <c:ext xmlns:c16="http://schemas.microsoft.com/office/drawing/2014/chart" uri="{C3380CC4-5D6E-409C-BE32-E72D297353CC}">
              <c16:uniqueId val="{00000001-3084-4299-A671-DD6F9E2F3FF2}"/>
            </c:ext>
          </c:extLst>
        </c:ser>
        <c:ser>
          <c:idx val="1"/>
          <c:order val="1"/>
          <c:spPr>
            <a:solidFill>
              <a:schemeClr val="accent5">
                <a:lumMod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Cash_2026!$A$25:$A$36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Cash_2026!$C$25:$C$36</c:f>
              <c:numCache>
                <c:formatCode>#,##0"$"</c:formatCode>
                <c:ptCount val="12"/>
                <c:pt idx="0">
                  <c:v>3129180</c:v>
                </c:pt>
              </c:numCache>
            </c:numRef>
          </c:val>
          <c:extLst>
            <c:ext xmlns:c16="http://schemas.microsoft.com/office/drawing/2014/chart" uri="{C3380CC4-5D6E-409C-BE32-E72D297353CC}">
              <c16:uniqueId val="{00000002-3084-4299-A671-DD6F9E2F3FF2}"/>
            </c:ext>
          </c:extLst>
        </c:ser>
        <c:dLbls>
          <c:showLegendKey val="0"/>
          <c:showVal val="0"/>
          <c:showCatName val="0"/>
          <c:showSerName val="0"/>
          <c:showPercent val="0"/>
          <c:showBubbleSize val="0"/>
        </c:dLbls>
        <c:gapWidth val="150"/>
        <c:shape val="box"/>
        <c:axId val="1982991423"/>
        <c:axId val="1982992671"/>
        <c:axId val="0"/>
      </c:bar3DChart>
      <c:catAx>
        <c:axId val="198299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2992671"/>
        <c:crosses val="autoZero"/>
        <c:auto val="1"/>
        <c:lblAlgn val="ctr"/>
        <c:lblOffset val="100"/>
        <c:noMultiLvlLbl val="0"/>
      </c:catAx>
      <c:valAx>
        <c:axId val="1982992671"/>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2991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b="1"/>
              <a:t>Análisis</a:t>
            </a:r>
            <a:r>
              <a:rPr lang="es-AR" b="1" baseline="0"/>
              <a:t> Mensual</a:t>
            </a:r>
            <a:endParaRPr lang="es-A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manualLayout>
          <c:layoutTarget val="inner"/>
          <c:xMode val="edge"/>
          <c:yMode val="edge"/>
          <c:x val="5.5553303998764861E-2"/>
          <c:y val="0.15669778032712797"/>
          <c:w val="0.93847151459008804"/>
          <c:h val="0.6189535586402215"/>
        </c:manualLayout>
      </c:layout>
      <c:barChart>
        <c:barDir val="col"/>
        <c:grouping val="clustered"/>
        <c:varyColors val="0"/>
        <c:ser>
          <c:idx val="0"/>
          <c:order val="0"/>
          <c:tx>
            <c:strRef>
              <c:f>Cash_2025!$A$2</c:f>
              <c:strCache>
                <c:ptCount val="1"/>
                <c:pt idx="0">
                  <c:v>Ingreso</c:v>
                </c:pt>
              </c:strCache>
            </c:strRef>
          </c:tx>
          <c:spPr>
            <a:solidFill>
              <a:srgbClr val="00B050"/>
            </a:solidFill>
            <a:ln>
              <a:noFill/>
            </a:ln>
            <a:effectLst/>
          </c:spPr>
          <c:invertIfNegative val="0"/>
          <c:dLbls>
            <c:dLbl>
              <c:idx val="2"/>
              <c:layout>
                <c:manualLayout>
                  <c:x val="1.4705882352941176E-2"/>
                  <c:y val="-1.32450331125827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94-4789-A61F-91604EC70F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Cash_2025!$B$1:$M$1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Cash_2025!$B$2:$M$2</c:f>
              <c:numCache>
                <c:formatCode>#,##0"$"</c:formatCode>
                <c:ptCount val="12"/>
                <c:pt idx="0">
                  <c:v>10287446</c:v>
                </c:pt>
                <c:pt idx="1">
                  <c:v>16394489</c:v>
                </c:pt>
                <c:pt idx="2">
                  <c:v>19438482</c:v>
                </c:pt>
                <c:pt idx="3">
                  <c:v>24103384</c:v>
                </c:pt>
                <c:pt idx="4">
                  <c:v>25255179</c:v>
                </c:pt>
                <c:pt idx="5">
                  <c:v>22712881</c:v>
                </c:pt>
                <c:pt idx="6">
                  <c:v>17905501</c:v>
                </c:pt>
                <c:pt idx="7">
                  <c:v>22131598</c:v>
                </c:pt>
                <c:pt idx="8">
                  <c:v>21336631</c:v>
                </c:pt>
                <c:pt idx="9">
                  <c:v>22846807</c:v>
                </c:pt>
                <c:pt idx="10">
                  <c:v>17439857</c:v>
                </c:pt>
                <c:pt idx="11">
                  <c:v>15577506</c:v>
                </c:pt>
              </c:numCache>
            </c:numRef>
          </c:val>
          <c:extLst>
            <c:ext xmlns:c16="http://schemas.microsoft.com/office/drawing/2014/chart" uri="{C3380CC4-5D6E-409C-BE32-E72D297353CC}">
              <c16:uniqueId val="{00000000-0D2A-4DCB-8AD8-6260423D6A30}"/>
            </c:ext>
          </c:extLst>
        </c:ser>
        <c:ser>
          <c:idx val="1"/>
          <c:order val="1"/>
          <c:tx>
            <c:strRef>
              <c:f>Cash_2025!$A$3</c:f>
              <c:strCache>
                <c:ptCount val="1"/>
                <c:pt idx="0">
                  <c:v>Gasto</c:v>
                </c:pt>
              </c:strCache>
            </c:strRef>
          </c:tx>
          <c:spPr>
            <a:solidFill>
              <a:srgbClr val="FF0000"/>
            </a:solidFill>
            <a:ln>
              <a:noFill/>
            </a:ln>
            <a:effectLst/>
          </c:spPr>
          <c:invertIfNegative val="0"/>
          <c:dLbls>
            <c:dLbl>
              <c:idx val="0"/>
              <c:layout>
                <c:manualLayout>
                  <c:x val="3.31674958540630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2A-4DCB-8AD8-6260423D6A30}"/>
                </c:ext>
              </c:extLst>
            </c:dLbl>
            <c:dLbl>
              <c:idx val="1"/>
              <c:layout>
                <c:manualLayout>
                  <c:x val="3.53786622443338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2A-4DCB-8AD8-6260423D6A30}"/>
                </c:ext>
              </c:extLst>
            </c:dLbl>
            <c:dLbl>
              <c:idx val="2"/>
              <c:layout>
                <c:manualLayout>
                  <c:x val="1.2254901960784255E-2"/>
                  <c:y val="-1.32450331125827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94-4789-A61F-91604EC70F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Cash_2025!$B$1:$M$1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Cash_2025!$B$3:$M$3</c:f>
              <c:numCache>
                <c:formatCode>#,##0"$"</c:formatCode>
                <c:ptCount val="12"/>
                <c:pt idx="0">
                  <c:v>7130047</c:v>
                </c:pt>
                <c:pt idx="1">
                  <c:v>10442183</c:v>
                </c:pt>
                <c:pt idx="2">
                  <c:v>11713691</c:v>
                </c:pt>
                <c:pt idx="3">
                  <c:v>14982902</c:v>
                </c:pt>
                <c:pt idx="4">
                  <c:v>14083777</c:v>
                </c:pt>
                <c:pt idx="5">
                  <c:v>14858214</c:v>
                </c:pt>
                <c:pt idx="6">
                  <c:v>10150223</c:v>
                </c:pt>
                <c:pt idx="7">
                  <c:v>14790380</c:v>
                </c:pt>
                <c:pt idx="8">
                  <c:v>13756509</c:v>
                </c:pt>
                <c:pt idx="9">
                  <c:v>13850929</c:v>
                </c:pt>
                <c:pt idx="10">
                  <c:v>9247295</c:v>
                </c:pt>
                <c:pt idx="11">
                  <c:v>9725418</c:v>
                </c:pt>
              </c:numCache>
            </c:numRef>
          </c:val>
          <c:extLst>
            <c:ext xmlns:c16="http://schemas.microsoft.com/office/drawing/2014/chart" uri="{C3380CC4-5D6E-409C-BE32-E72D297353CC}">
              <c16:uniqueId val="{00000003-0D2A-4DCB-8AD8-6260423D6A30}"/>
            </c:ext>
          </c:extLst>
        </c:ser>
        <c:ser>
          <c:idx val="2"/>
          <c:order val="2"/>
          <c:tx>
            <c:strRef>
              <c:f>Cash_2025!$A$4</c:f>
              <c:strCache>
                <c:ptCount val="1"/>
                <c:pt idx="0">
                  <c:v>Ganancia</c:v>
                </c:pt>
              </c:strCache>
            </c:strRef>
          </c:tx>
          <c:spPr>
            <a:solidFill>
              <a:srgbClr val="002060"/>
            </a:solidFill>
            <a:ln>
              <a:noFill/>
            </a:ln>
            <a:effectLst/>
          </c:spPr>
          <c:invertIfNegative val="0"/>
          <c:dLbls>
            <c:dLbl>
              <c:idx val="0"/>
              <c:layout>
                <c:manualLayout>
                  <c:x val="2.653399668325041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2A-4DCB-8AD8-6260423D6A30}"/>
                </c:ext>
              </c:extLst>
            </c:dLbl>
            <c:dLbl>
              <c:idx val="1"/>
              <c:layout>
                <c:manualLayout>
                  <c:x val="1.0531496062992127E-2"/>
                  <c:y val="-2.6490066225165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2A-4DCB-8AD8-6260423D6A30}"/>
                </c:ext>
              </c:extLst>
            </c:dLbl>
            <c:dLbl>
              <c:idx val="2"/>
              <c:layout>
                <c:manualLayout>
                  <c:x val="1.9607843137254902E-2"/>
                  <c:y val="-1.7660044150110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94-4789-A61F-91604EC70F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Cash_2025!$B$1:$M$1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Cash_2025!$B$4:$M$4</c:f>
              <c:numCache>
                <c:formatCode>#,##0"$"</c:formatCode>
                <c:ptCount val="12"/>
                <c:pt idx="0">
                  <c:v>3157399</c:v>
                </c:pt>
                <c:pt idx="1">
                  <c:v>5952306</c:v>
                </c:pt>
                <c:pt idx="2">
                  <c:v>7724791</c:v>
                </c:pt>
                <c:pt idx="3">
                  <c:v>9120482</c:v>
                </c:pt>
                <c:pt idx="4">
                  <c:v>11171402</c:v>
                </c:pt>
                <c:pt idx="5">
                  <c:v>7854667</c:v>
                </c:pt>
                <c:pt idx="6">
                  <c:v>7755278</c:v>
                </c:pt>
                <c:pt idx="7">
                  <c:v>7341218</c:v>
                </c:pt>
                <c:pt idx="8">
                  <c:v>7580122</c:v>
                </c:pt>
                <c:pt idx="9">
                  <c:v>8995878</c:v>
                </c:pt>
                <c:pt idx="10">
                  <c:v>8192562</c:v>
                </c:pt>
                <c:pt idx="11">
                  <c:v>5852088</c:v>
                </c:pt>
              </c:numCache>
            </c:numRef>
          </c:val>
          <c:extLst>
            <c:ext xmlns:c16="http://schemas.microsoft.com/office/drawing/2014/chart" uri="{C3380CC4-5D6E-409C-BE32-E72D297353CC}">
              <c16:uniqueId val="{00000006-0D2A-4DCB-8AD8-6260423D6A30}"/>
            </c:ext>
          </c:extLst>
        </c:ser>
        <c:dLbls>
          <c:showLegendKey val="0"/>
          <c:showVal val="0"/>
          <c:showCatName val="0"/>
          <c:showSerName val="0"/>
          <c:showPercent val="0"/>
          <c:showBubbleSize val="0"/>
        </c:dLbls>
        <c:gapWidth val="219"/>
        <c:overlap val="-27"/>
        <c:axId val="2089967807"/>
        <c:axId val="2089971135"/>
      </c:barChart>
      <c:catAx>
        <c:axId val="208996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89971135"/>
        <c:crosses val="autoZero"/>
        <c:auto val="1"/>
        <c:lblAlgn val="ctr"/>
        <c:lblOffset val="100"/>
        <c:noMultiLvlLbl val="0"/>
      </c:catAx>
      <c:valAx>
        <c:axId val="2089971135"/>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89967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b="1"/>
              <a:t>Ingreso</a:t>
            </a:r>
            <a:r>
              <a:rPr lang="es-AR" b="1" baseline="0"/>
              <a:t> vs Ganancia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Ventas</c:v>
          </c:tx>
          <c:spPr>
            <a:solidFill>
              <a:srgbClr val="92D050"/>
            </a:solidFill>
            <a:ln>
              <a:noFill/>
            </a:ln>
            <a:effectLst/>
            <a:sp3d/>
          </c:spPr>
          <c:invertIfNegative val="0"/>
          <c:dLbls>
            <c:dLbl>
              <c:idx val="0"/>
              <c:layout>
                <c:manualLayout>
                  <c:x val="-1.8746338605741066E-2"/>
                  <c:y val="-8.85657708882417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12-444A-82C2-824A1AB8F8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Cash_2025!$A$26:$A$36</c:f>
              <c:strCache>
                <c:ptCount val="11"/>
                <c:pt idx="0">
                  <c:v>Febrero</c:v>
                </c:pt>
                <c:pt idx="1">
                  <c:v>Marzo</c:v>
                </c:pt>
                <c:pt idx="2">
                  <c:v>Abril</c:v>
                </c:pt>
                <c:pt idx="3">
                  <c:v>Mayo</c:v>
                </c:pt>
                <c:pt idx="4">
                  <c:v>Junio</c:v>
                </c:pt>
                <c:pt idx="5">
                  <c:v>Julio</c:v>
                </c:pt>
                <c:pt idx="6">
                  <c:v>Agosto</c:v>
                </c:pt>
                <c:pt idx="7">
                  <c:v>Septiembre</c:v>
                </c:pt>
                <c:pt idx="8">
                  <c:v>Octubre</c:v>
                </c:pt>
                <c:pt idx="9">
                  <c:v>Noviembre</c:v>
                </c:pt>
                <c:pt idx="10">
                  <c:v>Diciembre</c:v>
                </c:pt>
              </c:strCache>
            </c:strRef>
          </c:cat>
          <c:val>
            <c:numRef>
              <c:f>Cash_2025!$B$26:$B$36</c:f>
              <c:numCache>
                <c:formatCode>#,##0"$"</c:formatCode>
                <c:ptCount val="11"/>
                <c:pt idx="0">
                  <c:v>16394489</c:v>
                </c:pt>
                <c:pt idx="1">
                  <c:v>19438482</c:v>
                </c:pt>
                <c:pt idx="2">
                  <c:v>24103384</c:v>
                </c:pt>
                <c:pt idx="3">
                  <c:v>25255179</c:v>
                </c:pt>
                <c:pt idx="4">
                  <c:v>22712881</c:v>
                </c:pt>
                <c:pt idx="5">
                  <c:v>17905501</c:v>
                </c:pt>
                <c:pt idx="6">
                  <c:v>22131598</c:v>
                </c:pt>
                <c:pt idx="7">
                  <c:v>21336631</c:v>
                </c:pt>
                <c:pt idx="8">
                  <c:v>22846807</c:v>
                </c:pt>
                <c:pt idx="9">
                  <c:v>17439857</c:v>
                </c:pt>
                <c:pt idx="10">
                  <c:v>15577506</c:v>
                </c:pt>
              </c:numCache>
            </c:numRef>
          </c:val>
          <c:extLst>
            <c:ext xmlns:c16="http://schemas.microsoft.com/office/drawing/2014/chart" uri="{C3380CC4-5D6E-409C-BE32-E72D297353CC}">
              <c16:uniqueId val="{00000002-9A12-444A-82C2-824A1AB8F82C}"/>
            </c:ext>
          </c:extLst>
        </c:ser>
        <c:ser>
          <c:idx val="1"/>
          <c:order val="1"/>
          <c:tx>
            <c:v>Ganancia</c:v>
          </c:tx>
          <c:spPr>
            <a:solidFill>
              <a:schemeClr val="accent5">
                <a:lumMod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Cash_2025!$A$26:$A$36</c:f>
              <c:strCache>
                <c:ptCount val="11"/>
                <c:pt idx="0">
                  <c:v>Febrero</c:v>
                </c:pt>
                <c:pt idx="1">
                  <c:v>Marzo</c:v>
                </c:pt>
                <c:pt idx="2">
                  <c:v>Abril</c:v>
                </c:pt>
                <c:pt idx="3">
                  <c:v>Mayo</c:v>
                </c:pt>
                <c:pt idx="4">
                  <c:v>Junio</c:v>
                </c:pt>
                <c:pt idx="5">
                  <c:v>Julio</c:v>
                </c:pt>
                <c:pt idx="6">
                  <c:v>Agosto</c:v>
                </c:pt>
                <c:pt idx="7">
                  <c:v>Septiembre</c:v>
                </c:pt>
                <c:pt idx="8">
                  <c:v>Octubre</c:v>
                </c:pt>
                <c:pt idx="9">
                  <c:v>Noviembre</c:v>
                </c:pt>
                <c:pt idx="10">
                  <c:v>Diciembre</c:v>
                </c:pt>
              </c:strCache>
            </c:strRef>
          </c:cat>
          <c:val>
            <c:numRef>
              <c:f>Cash_2025!$C$26:$C$36</c:f>
              <c:numCache>
                <c:formatCode>#,##0"$"</c:formatCode>
                <c:ptCount val="11"/>
                <c:pt idx="0">
                  <c:v>5952306</c:v>
                </c:pt>
                <c:pt idx="1">
                  <c:v>7724791</c:v>
                </c:pt>
                <c:pt idx="2">
                  <c:v>9120482</c:v>
                </c:pt>
                <c:pt idx="3">
                  <c:v>11171402</c:v>
                </c:pt>
                <c:pt idx="4">
                  <c:v>7854667</c:v>
                </c:pt>
                <c:pt idx="5">
                  <c:v>7755278</c:v>
                </c:pt>
                <c:pt idx="6">
                  <c:v>7341218</c:v>
                </c:pt>
                <c:pt idx="7">
                  <c:v>7580122</c:v>
                </c:pt>
                <c:pt idx="8">
                  <c:v>8995878</c:v>
                </c:pt>
                <c:pt idx="9">
                  <c:v>8192562</c:v>
                </c:pt>
                <c:pt idx="10">
                  <c:v>5852088</c:v>
                </c:pt>
              </c:numCache>
            </c:numRef>
          </c:val>
          <c:extLst>
            <c:ext xmlns:c16="http://schemas.microsoft.com/office/drawing/2014/chart" uri="{C3380CC4-5D6E-409C-BE32-E72D297353CC}">
              <c16:uniqueId val="{00000003-9A12-444A-82C2-824A1AB8F82C}"/>
            </c:ext>
          </c:extLst>
        </c:ser>
        <c:dLbls>
          <c:showLegendKey val="0"/>
          <c:showVal val="0"/>
          <c:showCatName val="0"/>
          <c:showSerName val="0"/>
          <c:showPercent val="0"/>
          <c:showBubbleSize val="0"/>
        </c:dLbls>
        <c:gapWidth val="150"/>
        <c:shape val="box"/>
        <c:axId val="1982991423"/>
        <c:axId val="1982992671"/>
        <c:axId val="0"/>
      </c:bar3DChart>
      <c:catAx>
        <c:axId val="198299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2992671"/>
        <c:crosses val="autoZero"/>
        <c:auto val="1"/>
        <c:lblAlgn val="ctr"/>
        <c:lblOffset val="100"/>
        <c:noMultiLvlLbl val="0"/>
      </c:catAx>
      <c:valAx>
        <c:axId val="1982992671"/>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2991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AR"/>
              <a:t>Balance Diario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AR"/>
        </a:p>
      </c:txPr>
    </c:title>
    <c:autoTitleDeleted val="0"/>
    <c:plotArea>
      <c:layout/>
      <c:barChart>
        <c:barDir val="col"/>
        <c:grouping val="clustered"/>
        <c:varyColors val="0"/>
        <c:ser>
          <c:idx val="0"/>
          <c:order val="0"/>
          <c:tx>
            <c:v>Ingresos</c:v>
          </c:tx>
          <c:spPr>
            <a:solidFill>
              <a:srgbClr val="00B050"/>
            </a:solidFill>
            <a:ln>
              <a:noFill/>
            </a:ln>
            <a:effectLst/>
          </c:spPr>
          <c:invertIfNegative val="0"/>
          <c:cat>
            <c:numRef>
              <c:f>Febrero!$B$3:$B$44</c:f>
              <c:numCache>
                <c:formatCode>m/d/yyyy</c:formatCode>
                <c:ptCount val="42"/>
                <c:pt idx="0">
                  <c:v>45689</c:v>
                </c:pt>
                <c:pt idx="2">
                  <c:v>45691</c:v>
                </c:pt>
                <c:pt idx="4">
                  <c:v>45692</c:v>
                </c:pt>
                <c:pt idx="6">
                  <c:v>45693</c:v>
                </c:pt>
                <c:pt idx="8">
                  <c:v>45694</c:v>
                </c:pt>
                <c:pt idx="10">
                  <c:v>45695</c:v>
                </c:pt>
                <c:pt idx="12">
                  <c:v>45696</c:v>
                </c:pt>
                <c:pt idx="14">
                  <c:v>45698</c:v>
                </c:pt>
                <c:pt idx="16">
                  <c:v>45699</c:v>
                </c:pt>
                <c:pt idx="18">
                  <c:v>45700</c:v>
                </c:pt>
                <c:pt idx="20">
                  <c:v>45701</c:v>
                </c:pt>
                <c:pt idx="22">
                  <c:v>45702</c:v>
                </c:pt>
                <c:pt idx="24">
                  <c:v>45703</c:v>
                </c:pt>
                <c:pt idx="26">
                  <c:v>45705</c:v>
                </c:pt>
                <c:pt idx="28">
                  <c:v>45706</c:v>
                </c:pt>
                <c:pt idx="30">
                  <c:v>45707</c:v>
                </c:pt>
                <c:pt idx="32">
                  <c:v>45708</c:v>
                </c:pt>
                <c:pt idx="34">
                  <c:v>45709</c:v>
                </c:pt>
                <c:pt idx="36">
                  <c:v>45710</c:v>
                </c:pt>
                <c:pt idx="38">
                  <c:v>45712</c:v>
                </c:pt>
                <c:pt idx="40">
                  <c:v>45713</c:v>
                </c:pt>
              </c:numCache>
            </c:numRef>
          </c:cat>
          <c:val>
            <c:numRef>
              <c:f>Febrero!$G$3:$G$44</c:f>
              <c:numCache>
                <c:formatCode>#,##0"$"</c:formatCode>
                <c:ptCount val="42"/>
                <c:pt idx="0">
                  <c:v>318646</c:v>
                </c:pt>
                <c:pt idx="2">
                  <c:v>457375</c:v>
                </c:pt>
                <c:pt idx="4">
                  <c:v>561223</c:v>
                </c:pt>
                <c:pt idx="6">
                  <c:v>580881</c:v>
                </c:pt>
                <c:pt idx="8">
                  <c:v>541892</c:v>
                </c:pt>
                <c:pt idx="10">
                  <c:v>556568</c:v>
                </c:pt>
                <c:pt idx="12">
                  <c:v>287916</c:v>
                </c:pt>
                <c:pt idx="14">
                  <c:v>556895</c:v>
                </c:pt>
                <c:pt idx="16">
                  <c:v>804760</c:v>
                </c:pt>
                <c:pt idx="18">
                  <c:v>680198</c:v>
                </c:pt>
                <c:pt idx="20">
                  <c:v>811644</c:v>
                </c:pt>
                <c:pt idx="22">
                  <c:v>821597</c:v>
                </c:pt>
                <c:pt idx="24">
                  <c:v>513525</c:v>
                </c:pt>
                <c:pt idx="26">
                  <c:v>809993</c:v>
                </c:pt>
                <c:pt idx="28">
                  <c:v>670475</c:v>
                </c:pt>
                <c:pt idx="30">
                  <c:v>802998</c:v>
                </c:pt>
                <c:pt idx="32">
                  <c:v>787785</c:v>
                </c:pt>
                <c:pt idx="34">
                  <c:v>878709</c:v>
                </c:pt>
                <c:pt idx="36">
                  <c:v>367407</c:v>
                </c:pt>
                <c:pt idx="38">
                  <c:v>630996</c:v>
                </c:pt>
                <c:pt idx="40">
                  <c:v>849950</c:v>
                </c:pt>
              </c:numCache>
            </c:numRef>
          </c:val>
          <c:extLst>
            <c:ext xmlns:c16="http://schemas.microsoft.com/office/drawing/2014/chart" uri="{C3380CC4-5D6E-409C-BE32-E72D297353CC}">
              <c16:uniqueId val="{00000000-9BD5-47A3-B826-AE63DFA9B50D}"/>
            </c:ext>
          </c:extLst>
        </c:ser>
        <c:ser>
          <c:idx val="1"/>
          <c:order val="1"/>
          <c:tx>
            <c:v>Gastos</c:v>
          </c:tx>
          <c:spPr>
            <a:solidFill>
              <a:srgbClr val="FF0000"/>
            </a:solidFill>
            <a:ln>
              <a:noFill/>
            </a:ln>
            <a:effectLst/>
          </c:spPr>
          <c:invertIfNegative val="0"/>
          <c:cat>
            <c:numRef>
              <c:f>Febrero!$B$3:$B$44</c:f>
              <c:numCache>
                <c:formatCode>m/d/yyyy</c:formatCode>
                <c:ptCount val="42"/>
                <c:pt idx="0">
                  <c:v>45689</c:v>
                </c:pt>
                <c:pt idx="2">
                  <c:v>45691</c:v>
                </c:pt>
                <c:pt idx="4">
                  <c:v>45692</c:v>
                </c:pt>
                <c:pt idx="6">
                  <c:v>45693</c:v>
                </c:pt>
                <c:pt idx="8">
                  <c:v>45694</c:v>
                </c:pt>
                <c:pt idx="10">
                  <c:v>45695</c:v>
                </c:pt>
                <c:pt idx="12">
                  <c:v>45696</c:v>
                </c:pt>
                <c:pt idx="14">
                  <c:v>45698</c:v>
                </c:pt>
                <c:pt idx="16">
                  <c:v>45699</c:v>
                </c:pt>
                <c:pt idx="18">
                  <c:v>45700</c:v>
                </c:pt>
                <c:pt idx="20">
                  <c:v>45701</c:v>
                </c:pt>
                <c:pt idx="22">
                  <c:v>45702</c:v>
                </c:pt>
                <c:pt idx="24">
                  <c:v>45703</c:v>
                </c:pt>
                <c:pt idx="26">
                  <c:v>45705</c:v>
                </c:pt>
                <c:pt idx="28">
                  <c:v>45706</c:v>
                </c:pt>
                <c:pt idx="30">
                  <c:v>45707</c:v>
                </c:pt>
                <c:pt idx="32">
                  <c:v>45708</c:v>
                </c:pt>
                <c:pt idx="34">
                  <c:v>45709</c:v>
                </c:pt>
                <c:pt idx="36">
                  <c:v>45710</c:v>
                </c:pt>
                <c:pt idx="38">
                  <c:v>45712</c:v>
                </c:pt>
                <c:pt idx="40">
                  <c:v>45713</c:v>
                </c:pt>
              </c:numCache>
            </c:numRef>
          </c:cat>
          <c:val>
            <c:numRef>
              <c:f>Febrero!$H$3:$H$44</c:f>
              <c:numCache>
                <c:formatCode>#,##0"$"</c:formatCode>
                <c:ptCount val="42"/>
                <c:pt idx="0">
                  <c:v>688525</c:v>
                </c:pt>
                <c:pt idx="2">
                  <c:v>243714</c:v>
                </c:pt>
                <c:pt idx="4">
                  <c:v>131484</c:v>
                </c:pt>
                <c:pt idx="6">
                  <c:v>481584</c:v>
                </c:pt>
                <c:pt idx="8">
                  <c:v>537996</c:v>
                </c:pt>
                <c:pt idx="10">
                  <c:v>50950</c:v>
                </c:pt>
                <c:pt idx="12">
                  <c:v>40000</c:v>
                </c:pt>
                <c:pt idx="14">
                  <c:v>799882</c:v>
                </c:pt>
                <c:pt idx="16">
                  <c:v>368476</c:v>
                </c:pt>
                <c:pt idx="18">
                  <c:v>676585</c:v>
                </c:pt>
                <c:pt idx="20">
                  <c:v>235743</c:v>
                </c:pt>
                <c:pt idx="22">
                  <c:v>514981</c:v>
                </c:pt>
                <c:pt idx="24">
                  <c:v>726985</c:v>
                </c:pt>
                <c:pt idx="26">
                  <c:v>313075</c:v>
                </c:pt>
                <c:pt idx="28">
                  <c:v>442247</c:v>
                </c:pt>
                <c:pt idx="30">
                  <c:v>551026</c:v>
                </c:pt>
                <c:pt idx="32">
                  <c:v>401433</c:v>
                </c:pt>
                <c:pt idx="34">
                  <c:v>515551</c:v>
                </c:pt>
                <c:pt idx="36">
                  <c:v>53690</c:v>
                </c:pt>
                <c:pt idx="38">
                  <c:v>451235</c:v>
                </c:pt>
                <c:pt idx="40">
                  <c:v>448334</c:v>
                </c:pt>
              </c:numCache>
            </c:numRef>
          </c:val>
          <c:extLst>
            <c:ext xmlns:c16="http://schemas.microsoft.com/office/drawing/2014/chart" uri="{C3380CC4-5D6E-409C-BE32-E72D297353CC}">
              <c16:uniqueId val="{00000001-9BD5-47A3-B826-AE63DFA9B50D}"/>
            </c:ext>
          </c:extLst>
        </c:ser>
        <c:ser>
          <c:idx val="2"/>
          <c:order val="2"/>
          <c:tx>
            <c:v>Ganancia</c:v>
          </c:tx>
          <c:spPr>
            <a:solidFill>
              <a:srgbClr val="002060"/>
            </a:solidFill>
            <a:ln>
              <a:noFill/>
            </a:ln>
            <a:effectLst/>
          </c:spPr>
          <c:invertIfNegative val="0"/>
          <c:cat>
            <c:numRef>
              <c:f>Febrero!$B$3:$B$44</c:f>
              <c:numCache>
                <c:formatCode>m/d/yyyy</c:formatCode>
                <c:ptCount val="42"/>
                <c:pt idx="0">
                  <c:v>45689</c:v>
                </c:pt>
                <c:pt idx="2">
                  <c:v>45691</c:v>
                </c:pt>
                <c:pt idx="4">
                  <c:v>45692</c:v>
                </c:pt>
                <c:pt idx="6">
                  <c:v>45693</c:v>
                </c:pt>
                <c:pt idx="8">
                  <c:v>45694</c:v>
                </c:pt>
                <c:pt idx="10">
                  <c:v>45695</c:v>
                </c:pt>
                <c:pt idx="12">
                  <c:v>45696</c:v>
                </c:pt>
                <c:pt idx="14">
                  <c:v>45698</c:v>
                </c:pt>
                <c:pt idx="16">
                  <c:v>45699</c:v>
                </c:pt>
                <c:pt idx="18">
                  <c:v>45700</c:v>
                </c:pt>
                <c:pt idx="20">
                  <c:v>45701</c:v>
                </c:pt>
                <c:pt idx="22">
                  <c:v>45702</c:v>
                </c:pt>
                <c:pt idx="24">
                  <c:v>45703</c:v>
                </c:pt>
                <c:pt idx="26">
                  <c:v>45705</c:v>
                </c:pt>
                <c:pt idx="28">
                  <c:v>45706</c:v>
                </c:pt>
                <c:pt idx="30">
                  <c:v>45707</c:v>
                </c:pt>
                <c:pt idx="32">
                  <c:v>45708</c:v>
                </c:pt>
                <c:pt idx="34">
                  <c:v>45709</c:v>
                </c:pt>
                <c:pt idx="36">
                  <c:v>45710</c:v>
                </c:pt>
                <c:pt idx="38">
                  <c:v>45712</c:v>
                </c:pt>
                <c:pt idx="40">
                  <c:v>45713</c:v>
                </c:pt>
              </c:numCache>
            </c:numRef>
          </c:cat>
          <c:val>
            <c:numRef>
              <c:f>Febrero!$I$3:$I$44</c:f>
              <c:numCache>
                <c:formatCode>#,##0"$"</c:formatCode>
                <c:ptCount val="42"/>
                <c:pt idx="0">
                  <c:v>-369879</c:v>
                </c:pt>
                <c:pt idx="2">
                  <c:v>213661</c:v>
                </c:pt>
                <c:pt idx="4">
                  <c:v>429739</c:v>
                </c:pt>
                <c:pt idx="6">
                  <c:v>99297</c:v>
                </c:pt>
                <c:pt idx="8">
                  <c:v>3896</c:v>
                </c:pt>
                <c:pt idx="10">
                  <c:v>505618</c:v>
                </c:pt>
                <c:pt idx="12">
                  <c:v>247916</c:v>
                </c:pt>
                <c:pt idx="14">
                  <c:v>-242987</c:v>
                </c:pt>
                <c:pt idx="16">
                  <c:v>436284</c:v>
                </c:pt>
                <c:pt idx="18">
                  <c:v>3613</c:v>
                </c:pt>
                <c:pt idx="20">
                  <c:v>575901</c:v>
                </c:pt>
                <c:pt idx="22">
                  <c:v>306616</c:v>
                </c:pt>
                <c:pt idx="24">
                  <c:v>-213460</c:v>
                </c:pt>
                <c:pt idx="26">
                  <c:v>496918</c:v>
                </c:pt>
                <c:pt idx="28">
                  <c:v>228228</c:v>
                </c:pt>
                <c:pt idx="30">
                  <c:v>251972</c:v>
                </c:pt>
                <c:pt idx="32">
                  <c:v>386352</c:v>
                </c:pt>
                <c:pt idx="34">
                  <c:v>363158</c:v>
                </c:pt>
                <c:pt idx="36">
                  <c:v>313717</c:v>
                </c:pt>
                <c:pt idx="38">
                  <c:v>179761</c:v>
                </c:pt>
                <c:pt idx="40">
                  <c:v>401616</c:v>
                </c:pt>
              </c:numCache>
            </c:numRef>
          </c:val>
          <c:extLst>
            <c:ext xmlns:c16="http://schemas.microsoft.com/office/drawing/2014/chart" uri="{C3380CC4-5D6E-409C-BE32-E72D297353CC}">
              <c16:uniqueId val="{00000002-9BD5-47A3-B826-AE63DFA9B50D}"/>
            </c:ext>
          </c:extLst>
        </c:ser>
        <c:dLbls>
          <c:showLegendKey val="0"/>
          <c:showVal val="0"/>
          <c:showCatName val="0"/>
          <c:showSerName val="0"/>
          <c:showPercent val="0"/>
          <c:showBubbleSize val="0"/>
        </c:dLbls>
        <c:gapWidth val="100"/>
        <c:overlap val="-24"/>
        <c:axId val="1608979664"/>
        <c:axId val="1608981328"/>
      </c:barChart>
      <c:dateAx>
        <c:axId val="1608979664"/>
        <c:scaling>
          <c:orientation val="minMax"/>
        </c:scaling>
        <c:delete val="0"/>
        <c:axPos val="b"/>
        <c:numFmt formatCode="m/d/yyyy"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crossAx val="1608981328"/>
        <c:crosses val="autoZero"/>
        <c:auto val="0"/>
        <c:lblOffset val="100"/>
        <c:baseTimeUnit val="days"/>
      </c:dateAx>
      <c:valAx>
        <c:axId val="1608981328"/>
        <c:scaling>
          <c:orientation val="minMax"/>
        </c:scaling>
        <c:delete val="0"/>
        <c:axPos val="l"/>
        <c:majorGridlines>
          <c:spPr>
            <a:ln w="9525" cap="flat" cmpd="sng" algn="ctr">
              <a:solidFill>
                <a:schemeClr val="tx2">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crossAx val="1608979664"/>
        <c:crosses val="autoZero"/>
        <c:crossBetween val="between"/>
      </c:valAx>
      <c:spPr>
        <a:noFill/>
        <a:ln>
          <a:noFill/>
        </a:ln>
        <a:effectLst/>
      </c:spPr>
    </c:plotArea>
    <c:legend>
      <c:legendPos val="b"/>
      <c:layout>
        <c:manualLayout>
          <c:xMode val="edge"/>
          <c:yMode val="edge"/>
          <c:x val="0.33693108646774544"/>
          <c:y val="0.9064399717659315"/>
          <c:w val="0.32185729399397445"/>
          <c:h val="8.31161640043036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5291-4722-B514-867F09E6A4B8}"/>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5291-4722-B514-867F09E6A4B8}"/>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5291-4722-B514-867F09E6A4B8}"/>
              </c:ext>
            </c:extLst>
          </c:dPt>
          <c:dLbls>
            <c:dLbl>
              <c:idx val="0"/>
              <c:layout>
                <c:manualLayout>
                  <c:x val="-0.16608529131442173"/>
                  <c:y val="-8.676338279852727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1A590FDE-2208-45AC-A0CD-F82103C5D123}"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9335897806075834"/>
                      <c:h val="0.13422683124725746"/>
                    </c:manualLayout>
                  </c15:layout>
                  <c15:dlblFieldTable/>
                  <c15:showDataLabelsRange val="0"/>
                </c:ext>
                <c:ext xmlns:c16="http://schemas.microsoft.com/office/drawing/2014/chart" uri="{C3380CC4-5D6E-409C-BE32-E72D297353CC}">
                  <c16:uniqueId val="{00000001-5291-4722-B514-867F09E6A4B8}"/>
                </c:ext>
              </c:extLst>
            </c:dLbl>
            <c:dLbl>
              <c:idx val="1"/>
              <c:layout>
                <c:manualLayout>
                  <c:x val="0.20287700891980881"/>
                  <c:y val="-0.2106561381695753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2046538487362943"/>
                      <c:h val="0.12632765950962313"/>
                    </c:manualLayout>
                  </c15:layout>
                  <c15:dlblFieldTable/>
                  <c15:showDataLabelsRange val="0"/>
                </c:ext>
                <c:ext xmlns:c16="http://schemas.microsoft.com/office/drawing/2014/chart" uri="{C3380CC4-5D6E-409C-BE32-E72D297353CC}">
                  <c16:uniqueId val="{00000003-5291-4722-B514-867F09E6A4B8}"/>
                </c:ext>
              </c:extLst>
            </c:dLbl>
            <c:dLbl>
              <c:idx val="2"/>
              <c:layout>
                <c:manualLayout>
                  <c:x val="0.15103438763166752"/>
                  <c:y val="9.6906665688081581E-2"/>
                </c:manualLayout>
              </c:layout>
              <c:tx>
                <c:rich>
                  <a:bodyPr/>
                  <a:lstStyle/>
                  <a:p>
                    <a:fld id="{7A558896-F28C-4764-A257-B88E2E423067}" type="VALUE">
                      <a:rPr lang="en-US" b="1">
                        <a:solidFill>
                          <a:schemeClr val="bg1"/>
                        </a:solidFill>
                      </a:rPr>
                      <a:pPr/>
                      <a:t>[VALOR]</a:t>
                    </a:fld>
                    <a:endParaRPr lang="es-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291-4722-B514-867F09E6A4B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Febrero!$G$2:$I$2</c:f>
              <c:strCache>
                <c:ptCount val="3"/>
                <c:pt idx="0">
                  <c:v>Ingreso</c:v>
                </c:pt>
                <c:pt idx="1">
                  <c:v>Gasto</c:v>
                </c:pt>
                <c:pt idx="2">
                  <c:v>Ganancia</c:v>
                </c:pt>
              </c:strCache>
            </c:strRef>
          </c:cat>
          <c:val>
            <c:numRef>
              <c:f>Febrero!$G$51:$I$51</c:f>
              <c:numCache>
                <c:formatCode>#,##0"$"</c:formatCode>
                <c:ptCount val="3"/>
                <c:pt idx="0">
                  <c:v>16394489</c:v>
                </c:pt>
                <c:pt idx="1">
                  <c:v>10442183</c:v>
                </c:pt>
                <c:pt idx="2">
                  <c:v>5952306</c:v>
                </c:pt>
              </c:numCache>
            </c:numRef>
          </c:val>
          <c:extLst>
            <c:ext xmlns:c16="http://schemas.microsoft.com/office/drawing/2014/chart" uri="{C3380CC4-5D6E-409C-BE32-E72D297353CC}">
              <c16:uniqueId val="{00000006-5291-4722-B514-867F09E6A4B8}"/>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AR"/>
              <a:t>Balance Diario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AR"/>
        </a:p>
      </c:txPr>
    </c:title>
    <c:autoTitleDeleted val="0"/>
    <c:plotArea>
      <c:layout/>
      <c:barChart>
        <c:barDir val="col"/>
        <c:grouping val="clustered"/>
        <c:varyColors val="0"/>
        <c:ser>
          <c:idx val="0"/>
          <c:order val="0"/>
          <c:tx>
            <c:v>Ingresos</c:v>
          </c:tx>
          <c:spPr>
            <a:solidFill>
              <a:srgbClr val="00B050"/>
            </a:solidFill>
            <a:ln>
              <a:noFill/>
            </a:ln>
            <a:effectLst/>
          </c:spPr>
          <c:invertIfNegative val="0"/>
          <c:cat>
            <c:numRef>
              <c:f>Marzo!$B$3:$B$48</c:f>
              <c:numCache>
                <c:formatCode>m/d/yyyy</c:formatCode>
                <c:ptCount val="46"/>
                <c:pt idx="0">
                  <c:v>45717</c:v>
                </c:pt>
                <c:pt idx="2">
                  <c:v>45721</c:v>
                </c:pt>
                <c:pt idx="4">
                  <c:v>45722</c:v>
                </c:pt>
                <c:pt idx="6">
                  <c:v>45723</c:v>
                </c:pt>
                <c:pt idx="8">
                  <c:v>45724</c:v>
                </c:pt>
                <c:pt idx="10">
                  <c:v>45726</c:v>
                </c:pt>
                <c:pt idx="12">
                  <c:v>45727</c:v>
                </c:pt>
                <c:pt idx="14">
                  <c:v>45728</c:v>
                </c:pt>
                <c:pt idx="16">
                  <c:v>45729</c:v>
                </c:pt>
                <c:pt idx="18">
                  <c:v>45730</c:v>
                </c:pt>
                <c:pt idx="20">
                  <c:v>45731</c:v>
                </c:pt>
                <c:pt idx="22">
                  <c:v>45733</c:v>
                </c:pt>
                <c:pt idx="24">
                  <c:v>45734</c:v>
                </c:pt>
                <c:pt idx="26">
                  <c:v>45735</c:v>
                </c:pt>
                <c:pt idx="28">
                  <c:v>45736</c:v>
                </c:pt>
                <c:pt idx="30">
                  <c:v>45737</c:v>
                </c:pt>
                <c:pt idx="32">
                  <c:v>45738</c:v>
                </c:pt>
                <c:pt idx="34">
                  <c:v>45802</c:v>
                </c:pt>
                <c:pt idx="36">
                  <c:v>45803</c:v>
                </c:pt>
                <c:pt idx="38">
                  <c:v>45804</c:v>
                </c:pt>
                <c:pt idx="40">
                  <c:v>45805</c:v>
                </c:pt>
                <c:pt idx="42">
                  <c:v>45806</c:v>
                </c:pt>
                <c:pt idx="44">
                  <c:v>45808</c:v>
                </c:pt>
              </c:numCache>
            </c:numRef>
          </c:cat>
          <c:val>
            <c:numRef>
              <c:f>Marzo!$G$3:$G$48</c:f>
              <c:numCache>
                <c:formatCode>#,##0"$"</c:formatCode>
                <c:ptCount val="46"/>
                <c:pt idx="0">
                  <c:v>509407</c:v>
                </c:pt>
                <c:pt idx="2">
                  <c:v>627372</c:v>
                </c:pt>
                <c:pt idx="4">
                  <c:v>822203</c:v>
                </c:pt>
                <c:pt idx="6">
                  <c:v>1041837</c:v>
                </c:pt>
                <c:pt idx="8">
                  <c:v>541076</c:v>
                </c:pt>
                <c:pt idx="10">
                  <c:v>767662</c:v>
                </c:pt>
                <c:pt idx="12">
                  <c:v>690654</c:v>
                </c:pt>
                <c:pt idx="14">
                  <c:v>1096533</c:v>
                </c:pt>
                <c:pt idx="16">
                  <c:v>980766</c:v>
                </c:pt>
                <c:pt idx="18">
                  <c:v>1027761</c:v>
                </c:pt>
                <c:pt idx="20">
                  <c:v>548993</c:v>
                </c:pt>
                <c:pt idx="22">
                  <c:v>745227</c:v>
                </c:pt>
                <c:pt idx="24">
                  <c:v>717331</c:v>
                </c:pt>
                <c:pt idx="26">
                  <c:v>946439</c:v>
                </c:pt>
                <c:pt idx="28">
                  <c:v>1076961</c:v>
                </c:pt>
                <c:pt idx="30">
                  <c:v>960317</c:v>
                </c:pt>
                <c:pt idx="32">
                  <c:v>413845</c:v>
                </c:pt>
                <c:pt idx="34">
                  <c:v>1056393</c:v>
                </c:pt>
                <c:pt idx="36">
                  <c:v>1043949</c:v>
                </c:pt>
                <c:pt idx="38">
                  <c:v>1170164</c:v>
                </c:pt>
                <c:pt idx="40">
                  <c:v>1030499</c:v>
                </c:pt>
                <c:pt idx="42">
                  <c:v>504523</c:v>
                </c:pt>
                <c:pt idx="44">
                  <c:v>1118570</c:v>
                </c:pt>
              </c:numCache>
            </c:numRef>
          </c:val>
          <c:extLst>
            <c:ext xmlns:c16="http://schemas.microsoft.com/office/drawing/2014/chart" uri="{C3380CC4-5D6E-409C-BE32-E72D297353CC}">
              <c16:uniqueId val="{00000000-5891-4778-A8D2-BFFF3255C52B}"/>
            </c:ext>
          </c:extLst>
        </c:ser>
        <c:ser>
          <c:idx val="1"/>
          <c:order val="1"/>
          <c:tx>
            <c:v>Gastos</c:v>
          </c:tx>
          <c:spPr>
            <a:solidFill>
              <a:srgbClr val="FF0000"/>
            </a:solidFill>
            <a:ln>
              <a:noFill/>
            </a:ln>
            <a:effectLst/>
          </c:spPr>
          <c:invertIfNegative val="0"/>
          <c:cat>
            <c:numRef>
              <c:f>Marzo!$B$3:$B$48</c:f>
              <c:numCache>
                <c:formatCode>m/d/yyyy</c:formatCode>
                <c:ptCount val="46"/>
                <c:pt idx="0">
                  <c:v>45717</c:v>
                </c:pt>
                <c:pt idx="2">
                  <c:v>45721</c:v>
                </c:pt>
                <c:pt idx="4">
                  <c:v>45722</c:v>
                </c:pt>
                <c:pt idx="6">
                  <c:v>45723</c:v>
                </c:pt>
                <c:pt idx="8">
                  <c:v>45724</c:v>
                </c:pt>
                <c:pt idx="10">
                  <c:v>45726</c:v>
                </c:pt>
                <c:pt idx="12">
                  <c:v>45727</c:v>
                </c:pt>
                <c:pt idx="14">
                  <c:v>45728</c:v>
                </c:pt>
                <c:pt idx="16">
                  <c:v>45729</c:v>
                </c:pt>
                <c:pt idx="18">
                  <c:v>45730</c:v>
                </c:pt>
                <c:pt idx="20">
                  <c:v>45731</c:v>
                </c:pt>
                <c:pt idx="22">
                  <c:v>45733</c:v>
                </c:pt>
                <c:pt idx="24">
                  <c:v>45734</c:v>
                </c:pt>
                <c:pt idx="26">
                  <c:v>45735</c:v>
                </c:pt>
                <c:pt idx="28">
                  <c:v>45736</c:v>
                </c:pt>
                <c:pt idx="30">
                  <c:v>45737</c:v>
                </c:pt>
                <c:pt idx="32">
                  <c:v>45738</c:v>
                </c:pt>
                <c:pt idx="34">
                  <c:v>45802</c:v>
                </c:pt>
                <c:pt idx="36">
                  <c:v>45803</c:v>
                </c:pt>
                <c:pt idx="38">
                  <c:v>45804</c:v>
                </c:pt>
                <c:pt idx="40">
                  <c:v>45805</c:v>
                </c:pt>
                <c:pt idx="42">
                  <c:v>45806</c:v>
                </c:pt>
                <c:pt idx="44">
                  <c:v>45808</c:v>
                </c:pt>
              </c:numCache>
            </c:numRef>
          </c:cat>
          <c:val>
            <c:numRef>
              <c:f>Marzo!$H$3:$H$48</c:f>
              <c:numCache>
                <c:formatCode>#,##0"$"</c:formatCode>
                <c:ptCount val="46"/>
                <c:pt idx="0">
                  <c:v>675705</c:v>
                </c:pt>
                <c:pt idx="2">
                  <c:v>565143</c:v>
                </c:pt>
                <c:pt idx="4">
                  <c:v>392377</c:v>
                </c:pt>
                <c:pt idx="6">
                  <c:v>156250</c:v>
                </c:pt>
                <c:pt idx="8">
                  <c:v>253000</c:v>
                </c:pt>
                <c:pt idx="10">
                  <c:v>1278513</c:v>
                </c:pt>
                <c:pt idx="12">
                  <c:v>413528</c:v>
                </c:pt>
                <c:pt idx="14">
                  <c:v>381307</c:v>
                </c:pt>
                <c:pt idx="16">
                  <c:v>1063802</c:v>
                </c:pt>
                <c:pt idx="18">
                  <c:v>448392</c:v>
                </c:pt>
                <c:pt idx="20">
                  <c:v>415190</c:v>
                </c:pt>
                <c:pt idx="22">
                  <c:v>301620</c:v>
                </c:pt>
                <c:pt idx="24">
                  <c:v>421357</c:v>
                </c:pt>
                <c:pt idx="26">
                  <c:v>443278</c:v>
                </c:pt>
                <c:pt idx="28">
                  <c:v>304901</c:v>
                </c:pt>
                <c:pt idx="30">
                  <c:v>667184</c:v>
                </c:pt>
                <c:pt idx="32">
                  <c:v>100250</c:v>
                </c:pt>
                <c:pt idx="34">
                  <c:v>848090</c:v>
                </c:pt>
                <c:pt idx="36">
                  <c:v>565088</c:v>
                </c:pt>
                <c:pt idx="38">
                  <c:v>845430</c:v>
                </c:pt>
                <c:pt idx="40">
                  <c:v>390700</c:v>
                </c:pt>
                <c:pt idx="42">
                  <c:v>367820</c:v>
                </c:pt>
                <c:pt idx="44">
                  <c:v>414766</c:v>
                </c:pt>
              </c:numCache>
            </c:numRef>
          </c:val>
          <c:extLst>
            <c:ext xmlns:c16="http://schemas.microsoft.com/office/drawing/2014/chart" uri="{C3380CC4-5D6E-409C-BE32-E72D297353CC}">
              <c16:uniqueId val="{00000001-5891-4778-A8D2-BFFF3255C52B}"/>
            </c:ext>
          </c:extLst>
        </c:ser>
        <c:ser>
          <c:idx val="2"/>
          <c:order val="2"/>
          <c:tx>
            <c:v>Ganancia</c:v>
          </c:tx>
          <c:spPr>
            <a:solidFill>
              <a:srgbClr val="002060"/>
            </a:solidFill>
            <a:ln>
              <a:noFill/>
            </a:ln>
            <a:effectLst/>
          </c:spPr>
          <c:invertIfNegative val="0"/>
          <c:cat>
            <c:numRef>
              <c:f>Marzo!$B$3:$B$48</c:f>
              <c:numCache>
                <c:formatCode>m/d/yyyy</c:formatCode>
                <c:ptCount val="46"/>
                <c:pt idx="0">
                  <c:v>45717</c:v>
                </c:pt>
                <c:pt idx="2">
                  <c:v>45721</c:v>
                </c:pt>
                <c:pt idx="4">
                  <c:v>45722</c:v>
                </c:pt>
                <c:pt idx="6">
                  <c:v>45723</c:v>
                </c:pt>
                <c:pt idx="8">
                  <c:v>45724</c:v>
                </c:pt>
                <c:pt idx="10">
                  <c:v>45726</c:v>
                </c:pt>
                <c:pt idx="12">
                  <c:v>45727</c:v>
                </c:pt>
                <c:pt idx="14">
                  <c:v>45728</c:v>
                </c:pt>
                <c:pt idx="16">
                  <c:v>45729</c:v>
                </c:pt>
                <c:pt idx="18">
                  <c:v>45730</c:v>
                </c:pt>
                <c:pt idx="20">
                  <c:v>45731</c:v>
                </c:pt>
                <c:pt idx="22">
                  <c:v>45733</c:v>
                </c:pt>
                <c:pt idx="24">
                  <c:v>45734</c:v>
                </c:pt>
                <c:pt idx="26">
                  <c:v>45735</c:v>
                </c:pt>
                <c:pt idx="28">
                  <c:v>45736</c:v>
                </c:pt>
                <c:pt idx="30">
                  <c:v>45737</c:v>
                </c:pt>
                <c:pt idx="32">
                  <c:v>45738</c:v>
                </c:pt>
                <c:pt idx="34">
                  <c:v>45802</c:v>
                </c:pt>
                <c:pt idx="36">
                  <c:v>45803</c:v>
                </c:pt>
                <c:pt idx="38">
                  <c:v>45804</c:v>
                </c:pt>
                <c:pt idx="40">
                  <c:v>45805</c:v>
                </c:pt>
                <c:pt idx="42">
                  <c:v>45806</c:v>
                </c:pt>
                <c:pt idx="44">
                  <c:v>45808</c:v>
                </c:pt>
              </c:numCache>
            </c:numRef>
          </c:cat>
          <c:val>
            <c:numRef>
              <c:f>Marzo!$I$3:$I$48</c:f>
              <c:numCache>
                <c:formatCode>#,##0"$"</c:formatCode>
                <c:ptCount val="46"/>
                <c:pt idx="0">
                  <c:v>-166298</c:v>
                </c:pt>
                <c:pt idx="2">
                  <c:v>62229</c:v>
                </c:pt>
                <c:pt idx="4">
                  <c:v>429826</c:v>
                </c:pt>
                <c:pt idx="6">
                  <c:v>885587</c:v>
                </c:pt>
                <c:pt idx="8">
                  <c:v>288076</c:v>
                </c:pt>
                <c:pt idx="10">
                  <c:v>-510851</c:v>
                </c:pt>
                <c:pt idx="12">
                  <c:v>277126</c:v>
                </c:pt>
                <c:pt idx="14">
                  <c:v>715226</c:v>
                </c:pt>
                <c:pt idx="16">
                  <c:v>-83036</c:v>
                </c:pt>
                <c:pt idx="18">
                  <c:v>579369</c:v>
                </c:pt>
                <c:pt idx="20">
                  <c:v>133803</c:v>
                </c:pt>
                <c:pt idx="22">
                  <c:v>443607</c:v>
                </c:pt>
                <c:pt idx="24">
                  <c:v>295974</c:v>
                </c:pt>
                <c:pt idx="26">
                  <c:v>503161</c:v>
                </c:pt>
                <c:pt idx="28">
                  <c:v>772060</c:v>
                </c:pt>
                <c:pt idx="30">
                  <c:v>293133</c:v>
                </c:pt>
                <c:pt idx="32">
                  <c:v>313595</c:v>
                </c:pt>
                <c:pt idx="34">
                  <c:v>208303</c:v>
                </c:pt>
                <c:pt idx="36">
                  <c:v>478861</c:v>
                </c:pt>
                <c:pt idx="38">
                  <c:v>324734</c:v>
                </c:pt>
                <c:pt idx="40">
                  <c:v>639799</c:v>
                </c:pt>
                <c:pt idx="42">
                  <c:v>136703</c:v>
                </c:pt>
                <c:pt idx="44">
                  <c:v>703804</c:v>
                </c:pt>
              </c:numCache>
            </c:numRef>
          </c:val>
          <c:extLst>
            <c:ext xmlns:c16="http://schemas.microsoft.com/office/drawing/2014/chart" uri="{C3380CC4-5D6E-409C-BE32-E72D297353CC}">
              <c16:uniqueId val="{00000002-5891-4778-A8D2-BFFF3255C52B}"/>
            </c:ext>
          </c:extLst>
        </c:ser>
        <c:dLbls>
          <c:showLegendKey val="0"/>
          <c:showVal val="0"/>
          <c:showCatName val="0"/>
          <c:showSerName val="0"/>
          <c:showPercent val="0"/>
          <c:showBubbleSize val="0"/>
        </c:dLbls>
        <c:gapWidth val="100"/>
        <c:overlap val="-24"/>
        <c:axId val="1608979664"/>
        <c:axId val="1608981328"/>
      </c:barChart>
      <c:dateAx>
        <c:axId val="1608979664"/>
        <c:scaling>
          <c:orientation val="minMax"/>
          <c:max val="45747"/>
        </c:scaling>
        <c:delete val="0"/>
        <c:axPos val="b"/>
        <c:numFmt formatCode="m/d/yyyy"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crossAx val="1608981328"/>
        <c:crosses val="autoZero"/>
        <c:auto val="0"/>
        <c:lblOffset val="100"/>
        <c:baseTimeUnit val="days"/>
      </c:dateAx>
      <c:valAx>
        <c:axId val="1608981328"/>
        <c:scaling>
          <c:orientation val="minMax"/>
        </c:scaling>
        <c:delete val="0"/>
        <c:axPos val="l"/>
        <c:majorGridlines>
          <c:spPr>
            <a:ln w="9525" cap="flat" cmpd="sng" algn="ctr">
              <a:solidFill>
                <a:schemeClr val="tx2">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crossAx val="1608979664"/>
        <c:crosses val="autoZero"/>
        <c:crossBetween val="between"/>
      </c:valAx>
      <c:spPr>
        <a:noFill/>
        <a:ln>
          <a:noFill/>
        </a:ln>
        <a:effectLst/>
      </c:spPr>
    </c:plotArea>
    <c:legend>
      <c:legendPos val="b"/>
      <c:layout>
        <c:manualLayout>
          <c:xMode val="edge"/>
          <c:yMode val="edge"/>
          <c:x val="0.33693108646774544"/>
          <c:y val="0.9064399717659315"/>
          <c:w val="0.32185729399397445"/>
          <c:h val="8.31161640043036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2752-438D-82F1-F5E7CF7C280C}"/>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2752-438D-82F1-F5E7CF7C280C}"/>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2752-438D-82F1-F5E7CF7C280C}"/>
              </c:ext>
            </c:extLst>
          </c:dPt>
          <c:dLbls>
            <c:dLbl>
              <c:idx val="0"/>
              <c:layout>
                <c:manualLayout>
                  <c:x val="-0.16608529131442173"/>
                  <c:y val="-8.676338279852727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1A590FDE-2208-45AC-A0CD-F82103C5D123}"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9335897806075834"/>
                      <c:h val="0.13422683124725746"/>
                    </c:manualLayout>
                  </c15:layout>
                  <c15:dlblFieldTable/>
                  <c15:showDataLabelsRange val="0"/>
                </c:ext>
                <c:ext xmlns:c16="http://schemas.microsoft.com/office/drawing/2014/chart" uri="{C3380CC4-5D6E-409C-BE32-E72D297353CC}">
                  <c16:uniqueId val="{00000001-2752-438D-82F1-F5E7CF7C280C}"/>
                </c:ext>
              </c:extLst>
            </c:dLbl>
            <c:dLbl>
              <c:idx val="1"/>
              <c:layout>
                <c:manualLayout>
                  <c:x val="0.21922316297222846"/>
                  <c:y val="-0.21065616669758608"/>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23734615684113361"/>
                      <c:h val="0.12632760245360161"/>
                    </c:manualLayout>
                  </c15:layout>
                  <c15:dlblFieldTable/>
                  <c15:showDataLabelsRange val="0"/>
                </c:ext>
                <c:ext xmlns:c16="http://schemas.microsoft.com/office/drawing/2014/chart" uri="{C3380CC4-5D6E-409C-BE32-E72D297353CC}">
                  <c16:uniqueId val="{00000003-2752-438D-82F1-F5E7CF7C280C}"/>
                </c:ext>
              </c:extLst>
            </c:dLbl>
            <c:dLbl>
              <c:idx val="2"/>
              <c:layout>
                <c:manualLayout>
                  <c:x val="0.15103438763166752"/>
                  <c:y val="9.6906665688081581E-2"/>
                </c:manualLayout>
              </c:layout>
              <c:tx>
                <c:rich>
                  <a:bodyPr/>
                  <a:lstStyle/>
                  <a:p>
                    <a:fld id="{7A558896-F28C-4764-A257-B88E2E423067}" type="VALUE">
                      <a:rPr lang="en-US" b="1">
                        <a:solidFill>
                          <a:schemeClr val="bg1"/>
                        </a:solidFill>
                      </a:rPr>
                      <a:pPr/>
                      <a:t>[VALOR]</a:t>
                    </a:fld>
                    <a:endParaRPr lang="es-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752-438D-82F1-F5E7CF7C280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Marzo!$G$2:$I$2</c:f>
              <c:strCache>
                <c:ptCount val="3"/>
                <c:pt idx="0">
                  <c:v>Ingreso</c:v>
                </c:pt>
                <c:pt idx="1">
                  <c:v>Gasto</c:v>
                </c:pt>
                <c:pt idx="2">
                  <c:v>Ganancia</c:v>
                </c:pt>
              </c:strCache>
            </c:strRef>
          </c:cat>
          <c:val>
            <c:numRef>
              <c:f>Marzo!$G$49:$I$49</c:f>
              <c:numCache>
                <c:formatCode>#,##0"$"</c:formatCode>
                <c:ptCount val="3"/>
                <c:pt idx="0">
                  <c:v>19438482</c:v>
                </c:pt>
                <c:pt idx="1">
                  <c:v>11713691</c:v>
                </c:pt>
                <c:pt idx="2">
                  <c:v>7724791</c:v>
                </c:pt>
              </c:numCache>
            </c:numRef>
          </c:val>
          <c:extLst>
            <c:ext xmlns:c16="http://schemas.microsoft.com/office/drawing/2014/chart" uri="{C3380CC4-5D6E-409C-BE32-E72D297353CC}">
              <c16:uniqueId val="{00000006-2752-438D-82F1-F5E7CF7C280C}"/>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32E2-4441-87E2-CE3C3F7F4C77}"/>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32E2-4441-87E2-CE3C3F7F4C77}"/>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32E2-4441-87E2-CE3C3F7F4C77}"/>
              </c:ext>
            </c:extLst>
          </c:dPt>
          <c:dLbls>
            <c:dLbl>
              <c:idx val="0"/>
              <c:layout>
                <c:manualLayout>
                  <c:x val="-0.16608529131442173"/>
                  <c:y val="-8.676338279852727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1A590FDE-2208-45AC-A0CD-F82103C5D123}"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9335897806075834"/>
                      <c:h val="0.13422683124725746"/>
                    </c:manualLayout>
                  </c15:layout>
                  <c15:dlblFieldTable/>
                  <c15:showDataLabelsRange val="0"/>
                </c:ext>
                <c:ext xmlns:c16="http://schemas.microsoft.com/office/drawing/2014/chart" uri="{C3380CC4-5D6E-409C-BE32-E72D297353CC}">
                  <c16:uniqueId val="{00000001-32E2-4441-87E2-CE3C3F7F4C77}"/>
                </c:ext>
              </c:extLst>
            </c:dLbl>
            <c:dLbl>
              <c:idx val="1"/>
              <c:layout>
                <c:manualLayout>
                  <c:x val="0.21922316297222846"/>
                  <c:y val="-0.20278442709217878"/>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23734615684113361"/>
                      <c:h val="0.12632760245360161"/>
                    </c:manualLayout>
                  </c15:layout>
                  <c15:dlblFieldTable/>
                  <c15:showDataLabelsRange val="0"/>
                </c:ext>
                <c:ext xmlns:c16="http://schemas.microsoft.com/office/drawing/2014/chart" uri="{C3380CC4-5D6E-409C-BE32-E72D297353CC}">
                  <c16:uniqueId val="{00000003-32E2-4441-87E2-CE3C3F7F4C77}"/>
                </c:ext>
              </c:extLst>
            </c:dLbl>
            <c:dLbl>
              <c:idx val="2"/>
              <c:layout>
                <c:manualLayout>
                  <c:x val="0.17827797771903364"/>
                  <c:y val="9.2970844805208494E-2"/>
                </c:manualLayout>
              </c:layout>
              <c:tx>
                <c:rich>
                  <a:bodyPr/>
                  <a:lstStyle/>
                  <a:p>
                    <a:fld id="{7A558896-F28C-4764-A257-B88E2E423067}" type="VALUE">
                      <a:rPr lang="en-US" b="1">
                        <a:solidFill>
                          <a:schemeClr val="bg1"/>
                        </a:solidFill>
                      </a:rPr>
                      <a:pPr/>
                      <a:t>[VALOR]</a:t>
                    </a:fld>
                    <a:endParaRPr lang="es-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2E2-4441-87E2-CE3C3F7F4C7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Abril!$G$2:$I$2</c:f>
              <c:strCache>
                <c:ptCount val="3"/>
                <c:pt idx="0">
                  <c:v>Ingreso</c:v>
                </c:pt>
                <c:pt idx="1">
                  <c:v>Gasto</c:v>
                </c:pt>
                <c:pt idx="2">
                  <c:v>Ganancia</c:v>
                </c:pt>
              </c:strCache>
            </c:strRef>
          </c:cat>
          <c:val>
            <c:numRef>
              <c:f>Abril!$G$55:$I$55</c:f>
              <c:numCache>
                <c:formatCode>#,##0"$"</c:formatCode>
                <c:ptCount val="3"/>
                <c:pt idx="0">
                  <c:v>24103384</c:v>
                </c:pt>
                <c:pt idx="1">
                  <c:v>14982902</c:v>
                </c:pt>
                <c:pt idx="2">
                  <c:v>9120482</c:v>
                </c:pt>
              </c:numCache>
            </c:numRef>
          </c:val>
          <c:extLst>
            <c:ext xmlns:c16="http://schemas.microsoft.com/office/drawing/2014/chart" uri="{C3380CC4-5D6E-409C-BE32-E72D297353CC}">
              <c16:uniqueId val="{00000006-32E2-4441-87E2-CE3C3F7F4C77}"/>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AR" sz="2400" b="1">
                <a:solidFill>
                  <a:sysClr val="windowText" lastClr="000000"/>
                </a:solidFill>
              </a:rPr>
              <a:t>Balance Diario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barChart>
        <c:barDir val="col"/>
        <c:grouping val="clustered"/>
        <c:varyColors val="0"/>
        <c:ser>
          <c:idx val="0"/>
          <c:order val="0"/>
          <c:tx>
            <c:v>Ingresos</c:v>
          </c:tx>
          <c:spPr>
            <a:solidFill>
              <a:srgbClr val="00B050"/>
            </a:solidFill>
            <a:ln>
              <a:noFill/>
            </a:ln>
            <a:effectLst/>
          </c:spPr>
          <c:invertIfNegative val="0"/>
          <c:cat>
            <c:numRef>
              <c:f>Abril!$B$3:$B$54</c:f>
              <c:numCache>
                <c:formatCode>m/d/yyyy</c:formatCode>
                <c:ptCount val="52"/>
                <c:pt idx="0">
                  <c:v>45748</c:v>
                </c:pt>
                <c:pt idx="2">
                  <c:v>45749</c:v>
                </c:pt>
                <c:pt idx="4">
                  <c:v>45750</c:v>
                </c:pt>
                <c:pt idx="6">
                  <c:v>45751</c:v>
                </c:pt>
                <c:pt idx="8">
                  <c:v>45752</c:v>
                </c:pt>
                <c:pt idx="10">
                  <c:v>45754</c:v>
                </c:pt>
                <c:pt idx="12">
                  <c:v>45755</c:v>
                </c:pt>
                <c:pt idx="14">
                  <c:v>45756</c:v>
                </c:pt>
                <c:pt idx="16">
                  <c:v>45757</c:v>
                </c:pt>
                <c:pt idx="18">
                  <c:v>45758</c:v>
                </c:pt>
                <c:pt idx="20">
                  <c:v>45759</c:v>
                </c:pt>
                <c:pt idx="22">
                  <c:v>45761</c:v>
                </c:pt>
                <c:pt idx="24">
                  <c:v>45762</c:v>
                </c:pt>
                <c:pt idx="26">
                  <c:v>45763</c:v>
                </c:pt>
                <c:pt idx="28">
                  <c:v>45764</c:v>
                </c:pt>
                <c:pt idx="30">
                  <c:v>45765</c:v>
                </c:pt>
                <c:pt idx="32">
                  <c:v>45766</c:v>
                </c:pt>
                <c:pt idx="34">
                  <c:v>45768</c:v>
                </c:pt>
                <c:pt idx="36">
                  <c:v>45769</c:v>
                </c:pt>
                <c:pt idx="38">
                  <c:v>45770</c:v>
                </c:pt>
                <c:pt idx="40">
                  <c:v>45771</c:v>
                </c:pt>
                <c:pt idx="42">
                  <c:v>45772</c:v>
                </c:pt>
                <c:pt idx="44">
                  <c:v>45773</c:v>
                </c:pt>
                <c:pt idx="46">
                  <c:v>45775</c:v>
                </c:pt>
                <c:pt idx="48">
                  <c:v>45776</c:v>
                </c:pt>
                <c:pt idx="50">
                  <c:v>45777</c:v>
                </c:pt>
              </c:numCache>
            </c:numRef>
          </c:cat>
          <c:val>
            <c:numRef>
              <c:f>Abril!$G$3:$G$54</c:f>
              <c:numCache>
                <c:formatCode>#,##0"$"</c:formatCode>
                <c:ptCount val="52"/>
                <c:pt idx="0">
                  <c:v>1224829</c:v>
                </c:pt>
                <c:pt idx="2">
                  <c:v>195882</c:v>
                </c:pt>
                <c:pt idx="4">
                  <c:v>1022949</c:v>
                </c:pt>
                <c:pt idx="6">
                  <c:v>1288990</c:v>
                </c:pt>
                <c:pt idx="8">
                  <c:v>644321</c:v>
                </c:pt>
                <c:pt idx="10">
                  <c:v>1051053</c:v>
                </c:pt>
                <c:pt idx="12">
                  <c:v>1046010</c:v>
                </c:pt>
                <c:pt idx="14">
                  <c:v>1067691</c:v>
                </c:pt>
                <c:pt idx="16">
                  <c:v>867588</c:v>
                </c:pt>
                <c:pt idx="18">
                  <c:v>1147901</c:v>
                </c:pt>
                <c:pt idx="20">
                  <c:v>715397</c:v>
                </c:pt>
                <c:pt idx="22">
                  <c:v>1088458</c:v>
                </c:pt>
                <c:pt idx="24">
                  <c:v>1130568</c:v>
                </c:pt>
                <c:pt idx="26">
                  <c:v>1270109</c:v>
                </c:pt>
                <c:pt idx="28">
                  <c:v>751205</c:v>
                </c:pt>
                <c:pt idx="30">
                  <c:v>0</c:v>
                </c:pt>
                <c:pt idx="32">
                  <c:v>648499</c:v>
                </c:pt>
                <c:pt idx="34">
                  <c:v>906495</c:v>
                </c:pt>
                <c:pt idx="36">
                  <c:v>854253</c:v>
                </c:pt>
                <c:pt idx="38">
                  <c:v>840289</c:v>
                </c:pt>
                <c:pt idx="40">
                  <c:v>1112594</c:v>
                </c:pt>
                <c:pt idx="42">
                  <c:v>1311927</c:v>
                </c:pt>
                <c:pt idx="44">
                  <c:v>793301</c:v>
                </c:pt>
                <c:pt idx="46">
                  <c:v>892438</c:v>
                </c:pt>
                <c:pt idx="48">
                  <c:v>1047672</c:v>
                </c:pt>
                <c:pt idx="50">
                  <c:v>1182965</c:v>
                </c:pt>
              </c:numCache>
            </c:numRef>
          </c:val>
          <c:extLst>
            <c:ext xmlns:c16="http://schemas.microsoft.com/office/drawing/2014/chart" uri="{C3380CC4-5D6E-409C-BE32-E72D297353CC}">
              <c16:uniqueId val="{00000000-BE12-4F64-BEED-74616D324003}"/>
            </c:ext>
          </c:extLst>
        </c:ser>
        <c:ser>
          <c:idx val="1"/>
          <c:order val="1"/>
          <c:tx>
            <c:v>Gastos</c:v>
          </c:tx>
          <c:spPr>
            <a:solidFill>
              <a:srgbClr val="FF0000"/>
            </a:solidFill>
            <a:ln>
              <a:noFill/>
            </a:ln>
            <a:effectLst/>
          </c:spPr>
          <c:invertIfNegative val="0"/>
          <c:cat>
            <c:numRef>
              <c:f>Abril!$B$3:$B$54</c:f>
              <c:numCache>
                <c:formatCode>m/d/yyyy</c:formatCode>
                <c:ptCount val="52"/>
                <c:pt idx="0">
                  <c:v>45748</c:v>
                </c:pt>
                <c:pt idx="2">
                  <c:v>45749</c:v>
                </c:pt>
                <c:pt idx="4">
                  <c:v>45750</c:v>
                </c:pt>
                <c:pt idx="6">
                  <c:v>45751</c:v>
                </c:pt>
                <c:pt idx="8">
                  <c:v>45752</c:v>
                </c:pt>
                <c:pt idx="10">
                  <c:v>45754</c:v>
                </c:pt>
                <c:pt idx="12">
                  <c:v>45755</c:v>
                </c:pt>
                <c:pt idx="14">
                  <c:v>45756</c:v>
                </c:pt>
                <c:pt idx="16">
                  <c:v>45757</c:v>
                </c:pt>
                <c:pt idx="18">
                  <c:v>45758</c:v>
                </c:pt>
                <c:pt idx="20">
                  <c:v>45759</c:v>
                </c:pt>
                <c:pt idx="22">
                  <c:v>45761</c:v>
                </c:pt>
                <c:pt idx="24">
                  <c:v>45762</c:v>
                </c:pt>
                <c:pt idx="26">
                  <c:v>45763</c:v>
                </c:pt>
                <c:pt idx="28">
                  <c:v>45764</c:v>
                </c:pt>
                <c:pt idx="30">
                  <c:v>45765</c:v>
                </c:pt>
                <c:pt idx="32">
                  <c:v>45766</c:v>
                </c:pt>
                <c:pt idx="34">
                  <c:v>45768</c:v>
                </c:pt>
                <c:pt idx="36">
                  <c:v>45769</c:v>
                </c:pt>
                <c:pt idx="38">
                  <c:v>45770</c:v>
                </c:pt>
                <c:pt idx="40">
                  <c:v>45771</c:v>
                </c:pt>
                <c:pt idx="42">
                  <c:v>45772</c:v>
                </c:pt>
                <c:pt idx="44">
                  <c:v>45773</c:v>
                </c:pt>
                <c:pt idx="46">
                  <c:v>45775</c:v>
                </c:pt>
                <c:pt idx="48">
                  <c:v>45776</c:v>
                </c:pt>
                <c:pt idx="50">
                  <c:v>45777</c:v>
                </c:pt>
              </c:numCache>
            </c:numRef>
          </c:cat>
          <c:val>
            <c:numRef>
              <c:f>Abril!$H$3:$H$54</c:f>
              <c:numCache>
                <c:formatCode>#,##0"$"</c:formatCode>
                <c:ptCount val="52"/>
                <c:pt idx="0">
                  <c:v>673227</c:v>
                </c:pt>
                <c:pt idx="2">
                  <c:v>474448</c:v>
                </c:pt>
                <c:pt idx="4">
                  <c:v>550898</c:v>
                </c:pt>
                <c:pt idx="6">
                  <c:v>621858</c:v>
                </c:pt>
                <c:pt idx="8">
                  <c:v>88000</c:v>
                </c:pt>
                <c:pt idx="10">
                  <c:v>475098</c:v>
                </c:pt>
                <c:pt idx="12">
                  <c:v>704948</c:v>
                </c:pt>
                <c:pt idx="14">
                  <c:v>990416</c:v>
                </c:pt>
                <c:pt idx="16">
                  <c:v>333850</c:v>
                </c:pt>
                <c:pt idx="18">
                  <c:v>687466</c:v>
                </c:pt>
                <c:pt idx="20">
                  <c:v>425355</c:v>
                </c:pt>
                <c:pt idx="22">
                  <c:v>844927</c:v>
                </c:pt>
                <c:pt idx="24">
                  <c:v>669331</c:v>
                </c:pt>
                <c:pt idx="26">
                  <c:v>602040</c:v>
                </c:pt>
                <c:pt idx="28">
                  <c:v>776925</c:v>
                </c:pt>
                <c:pt idx="30">
                  <c:v>0</c:v>
                </c:pt>
                <c:pt idx="32">
                  <c:v>240937</c:v>
                </c:pt>
                <c:pt idx="34">
                  <c:v>650981</c:v>
                </c:pt>
                <c:pt idx="36">
                  <c:v>1297587</c:v>
                </c:pt>
                <c:pt idx="38">
                  <c:v>619248</c:v>
                </c:pt>
                <c:pt idx="40">
                  <c:v>335410</c:v>
                </c:pt>
                <c:pt idx="42">
                  <c:v>726210</c:v>
                </c:pt>
                <c:pt idx="44">
                  <c:v>548682</c:v>
                </c:pt>
                <c:pt idx="46">
                  <c:v>560457</c:v>
                </c:pt>
                <c:pt idx="48">
                  <c:v>236250</c:v>
                </c:pt>
                <c:pt idx="50">
                  <c:v>848353</c:v>
                </c:pt>
              </c:numCache>
            </c:numRef>
          </c:val>
          <c:extLst>
            <c:ext xmlns:c16="http://schemas.microsoft.com/office/drawing/2014/chart" uri="{C3380CC4-5D6E-409C-BE32-E72D297353CC}">
              <c16:uniqueId val="{00000001-BE12-4F64-BEED-74616D324003}"/>
            </c:ext>
          </c:extLst>
        </c:ser>
        <c:ser>
          <c:idx val="2"/>
          <c:order val="2"/>
          <c:tx>
            <c:v>Ganancia</c:v>
          </c:tx>
          <c:spPr>
            <a:solidFill>
              <a:srgbClr val="0070C0"/>
            </a:solidFill>
            <a:ln>
              <a:noFill/>
            </a:ln>
            <a:effectLst/>
          </c:spPr>
          <c:invertIfNegative val="0"/>
          <c:cat>
            <c:numRef>
              <c:f>Abril!$B$3:$B$54</c:f>
              <c:numCache>
                <c:formatCode>m/d/yyyy</c:formatCode>
                <c:ptCount val="52"/>
                <c:pt idx="0">
                  <c:v>45748</c:v>
                </c:pt>
                <c:pt idx="2">
                  <c:v>45749</c:v>
                </c:pt>
                <c:pt idx="4">
                  <c:v>45750</c:v>
                </c:pt>
                <c:pt idx="6">
                  <c:v>45751</c:v>
                </c:pt>
                <c:pt idx="8">
                  <c:v>45752</c:v>
                </c:pt>
                <c:pt idx="10">
                  <c:v>45754</c:v>
                </c:pt>
                <c:pt idx="12">
                  <c:v>45755</c:v>
                </c:pt>
                <c:pt idx="14">
                  <c:v>45756</c:v>
                </c:pt>
                <c:pt idx="16">
                  <c:v>45757</c:v>
                </c:pt>
                <c:pt idx="18">
                  <c:v>45758</c:v>
                </c:pt>
                <c:pt idx="20">
                  <c:v>45759</c:v>
                </c:pt>
                <c:pt idx="22">
                  <c:v>45761</c:v>
                </c:pt>
                <c:pt idx="24">
                  <c:v>45762</c:v>
                </c:pt>
                <c:pt idx="26">
                  <c:v>45763</c:v>
                </c:pt>
                <c:pt idx="28">
                  <c:v>45764</c:v>
                </c:pt>
                <c:pt idx="30">
                  <c:v>45765</c:v>
                </c:pt>
                <c:pt idx="32">
                  <c:v>45766</c:v>
                </c:pt>
                <c:pt idx="34">
                  <c:v>45768</c:v>
                </c:pt>
                <c:pt idx="36">
                  <c:v>45769</c:v>
                </c:pt>
                <c:pt idx="38">
                  <c:v>45770</c:v>
                </c:pt>
                <c:pt idx="40">
                  <c:v>45771</c:v>
                </c:pt>
                <c:pt idx="42">
                  <c:v>45772</c:v>
                </c:pt>
                <c:pt idx="44">
                  <c:v>45773</c:v>
                </c:pt>
                <c:pt idx="46">
                  <c:v>45775</c:v>
                </c:pt>
                <c:pt idx="48">
                  <c:v>45776</c:v>
                </c:pt>
                <c:pt idx="50">
                  <c:v>45777</c:v>
                </c:pt>
              </c:numCache>
            </c:numRef>
          </c:cat>
          <c:val>
            <c:numRef>
              <c:f>Abril!$I$3:$I$54</c:f>
              <c:numCache>
                <c:formatCode>#,##0"$"</c:formatCode>
                <c:ptCount val="52"/>
                <c:pt idx="0">
                  <c:v>551602</c:v>
                </c:pt>
                <c:pt idx="2">
                  <c:v>-278566</c:v>
                </c:pt>
                <c:pt idx="4">
                  <c:v>472051</c:v>
                </c:pt>
                <c:pt idx="6">
                  <c:v>667132</c:v>
                </c:pt>
                <c:pt idx="8">
                  <c:v>556321</c:v>
                </c:pt>
                <c:pt idx="10">
                  <c:v>575955</c:v>
                </c:pt>
                <c:pt idx="12">
                  <c:v>341062</c:v>
                </c:pt>
                <c:pt idx="14">
                  <c:v>77275</c:v>
                </c:pt>
                <c:pt idx="16">
                  <c:v>533738</c:v>
                </c:pt>
                <c:pt idx="18">
                  <c:v>460435</c:v>
                </c:pt>
                <c:pt idx="20">
                  <c:v>290042</c:v>
                </c:pt>
                <c:pt idx="22">
                  <c:v>243531</c:v>
                </c:pt>
                <c:pt idx="24">
                  <c:v>461237</c:v>
                </c:pt>
                <c:pt idx="26">
                  <c:v>668069</c:v>
                </c:pt>
                <c:pt idx="28">
                  <c:v>-25720</c:v>
                </c:pt>
                <c:pt idx="30">
                  <c:v>0</c:v>
                </c:pt>
                <c:pt idx="32">
                  <c:v>407562</c:v>
                </c:pt>
                <c:pt idx="34">
                  <c:v>255514</c:v>
                </c:pt>
                <c:pt idx="36">
                  <c:v>-443334</c:v>
                </c:pt>
                <c:pt idx="38">
                  <c:v>221041</c:v>
                </c:pt>
                <c:pt idx="40">
                  <c:v>777184</c:v>
                </c:pt>
                <c:pt idx="42">
                  <c:v>585717</c:v>
                </c:pt>
                <c:pt idx="44">
                  <c:v>244619</c:v>
                </c:pt>
                <c:pt idx="46">
                  <c:v>331981</c:v>
                </c:pt>
                <c:pt idx="48">
                  <c:v>811422</c:v>
                </c:pt>
                <c:pt idx="50">
                  <c:v>334612</c:v>
                </c:pt>
              </c:numCache>
            </c:numRef>
          </c:val>
          <c:extLst>
            <c:ext xmlns:c16="http://schemas.microsoft.com/office/drawing/2014/chart" uri="{C3380CC4-5D6E-409C-BE32-E72D297353CC}">
              <c16:uniqueId val="{00000002-BE12-4F64-BEED-74616D324003}"/>
            </c:ext>
          </c:extLst>
        </c:ser>
        <c:dLbls>
          <c:showLegendKey val="0"/>
          <c:showVal val="0"/>
          <c:showCatName val="0"/>
          <c:showSerName val="0"/>
          <c:showPercent val="0"/>
          <c:showBubbleSize val="0"/>
        </c:dLbls>
        <c:gapWidth val="219"/>
        <c:overlap val="-27"/>
        <c:axId val="1243510208"/>
        <c:axId val="1243511168"/>
      </c:barChart>
      <c:dateAx>
        <c:axId val="124351020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1168"/>
        <c:crosses val="autoZero"/>
        <c:auto val="1"/>
        <c:lblOffset val="100"/>
        <c:baseTimeUnit val="days"/>
      </c:dateAx>
      <c:valAx>
        <c:axId val="1243511168"/>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5BE7-46A6-9D38-1DDBBA2D3F3C}"/>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5BE7-46A6-9D38-1DDBBA2D3F3C}"/>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5BE7-46A6-9D38-1DDBBA2D3F3C}"/>
              </c:ext>
            </c:extLst>
          </c:dPt>
          <c:dLbls>
            <c:dLbl>
              <c:idx val="0"/>
              <c:layout>
                <c:manualLayout>
                  <c:x val="-0.16608529131442173"/>
                  <c:y val="-8.676338279852727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1A590FDE-2208-45AC-A0CD-F82103C5D123}"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9335897806075834"/>
                      <c:h val="0.13422683124725746"/>
                    </c:manualLayout>
                  </c15:layout>
                  <c15:dlblFieldTable/>
                  <c15:showDataLabelsRange val="0"/>
                </c:ext>
                <c:ext xmlns:c16="http://schemas.microsoft.com/office/drawing/2014/chart" uri="{C3380CC4-5D6E-409C-BE32-E72D297353CC}">
                  <c16:uniqueId val="{00000001-5BE7-46A6-9D38-1DDBBA2D3F3C}"/>
                </c:ext>
              </c:extLst>
            </c:dLbl>
            <c:dLbl>
              <c:idx val="1"/>
              <c:layout>
                <c:manualLayout>
                  <c:x val="0.21649875752094536"/>
                  <c:y val="-0.24607900501188207"/>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23734615684113361"/>
                      <c:h val="0.12632760245360161"/>
                    </c:manualLayout>
                  </c15:layout>
                  <c15:dlblFieldTable/>
                  <c15:showDataLabelsRange val="0"/>
                </c:ext>
                <c:ext xmlns:c16="http://schemas.microsoft.com/office/drawing/2014/chart" uri="{C3380CC4-5D6E-409C-BE32-E72D297353CC}">
                  <c16:uniqueId val="{00000003-5BE7-46A6-9D38-1DDBBA2D3F3C}"/>
                </c:ext>
              </c:extLst>
            </c:dLbl>
            <c:dLbl>
              <c:idx val="2"/>
              <c:layout>
                <c:manualLayout>
                  <c:x val="0.23547874056556822"/>
                  <c:y val="0.10084274120069465"/>
                </c:manualLayout>
              </c:layout>
              <c:tx>
                <c:rich>
                  <a:bodyPr/>
                  <a:lstStyle/>
                  <a:p>
                    <a:fld id="{7A558896-F28C-4764-A257-B88E2E423067}" type="VALUE">
                      <a:rPr lang="en-US" b="1">
                        <a:solidFill>
                          <a:schemeClr val="bg1"/>
                        </a:solidFill>
                      </a:rPr>
                      <a:pPr/>
                      <a:t>[VALOR]</a:t>
                    </a:fld>
                    <a:endParaRPr lang="es-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2319490972592462"/>
                      <c:h val="0.14760840411265086"/>
                    </c:manualLayout>
                  </c15:layout>
                  <c15:dlblFieldTable/>
                  <c15:showDataLabelsRange val="0"/>
                </c:ext>
                <c:ext xmlns:c16="http://schemas.microsoft.com/office/drawing/2014/chart" uri="{C3380CC4-5D6E-409C-BE32-E72D297353CC}">
                  <c16:uniqueId val="{00000005-5BE7-46A6-9D38-1DDBBA2D3F3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Mayo!$G$2:$I$2</c:f>
              <c:strCache>
                <c:ptCount val="3"/>
                <c:pt idx="0">
                  <c:v>Ingreso</c:v>
                </c:pt>
                <c:pt idx="1">
                  <c:v>Gasto</c:v>
                </c:pt>
                <c:pt idx="2">
                  <c:v>Ganancia</c:v>
                </c:pt>
              </c:strCache>
            </c:strRef>
          </c:cat>
          <c:val>
            <c:numRef>
              <c:f>Mayo!$G$57:$I$57</c:f>
              <c:numCache>
                <c:formatCode>#,##0"$"</c:formatCode>
                <c:ptCount val="3"/>
                <c:pt idx="0">
                  <c:v>25255179</c:v>
                </c:pt>
                <c:pt idx="1">
                  <c:v>14083777</c:v>
                </c:pt>
                <c:pt idx="2">
                  <c:v>11171402</c:v>
                </c:pt>
              </c:numCache>
            </c:numRef>
          </c:val>
          <c:extLst>
            <c:ext xmlns:c16="http://schemas.microsoft.com/office/drawing/2014/chart" uri="{C3380CC4-5D6E-409C-BE32-E72D297353CC}">
              <c16:uniqueId val="{00000006-5BE7-46A6-9D38-1DDBBA2D3F3C}"/>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AR" sz="2400" b="1">
                <a:solidFill>
                  <a:sysClr val="windowText" lastClr="000000"/>
                </a:solidFill>
              </a:rPr>
              <a:t>Balance Diario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barChart>
        <c:barDir val="col"/>
        <c:grouping val="clustered"/>
        <c:varyColors val="0"/>
        <c:ser>
          <c:idx val="0"/>
          <c:order val="0"/>
          <c:tx>
            <c:v>Ingresos</c:v>
          </c:tx>
          <c:spPr>
            <a:solidFill>
              <a:srgbClr val="00B050"/>
            </a:solidFill>
            <a:ln>
              <a:noFill/>
            </a:ln>
            <a:effectLst/>
          </c:spPr>
          <c:invertIfNegative val="0"/>
          <c:cat>
            <c:numRef>
              <c:f>Mayo!$B$3:$B$50</c:f>
              <c:numCache>
                <c:formatCode>m/d/yyyy</c:formatCode>
                <c:ptCount val="48"/>
                <c:pt idx="0">
                  <c:v>45778</c:v>
                </c:pt>
                <c:pt idx="2">
                  <c:v>45779</c:v>
                </c:pt>
                <c:pt idx="4">
                  <c:v>45780</c:v>
                </c:pt>
                <c:pt idx="6">
                  <c:v>45782</c:v>
                </c:pt>
                <c:pt idx="8">
                  <c:v>45783</c:v>
                </c:pt>
                <c:pt idx="10">
                  <c:v>45784</c:v>
                </c:pt>
                <c:pt idx="12">
                  <c:v>45785</c:v>
                </c:pt>
                <c:pt idx="14">
                  <c:v>45786</c:v>
                </c:pt>
                <c:pt idx="16">
                  <c:v>45787</c:v>
                </c:pt>
                <c:pt idx="18">
                  <c:v>45789</c:v>
                </c:pt>
                <c:pt idx="20">
                  <c:v>45790</c:v>
                </c:pt>
                <c:pt idx="22">
                  <c:v>45791</c:v>
                </c:pt>
                <c:pt idx="24">
                  <c:v>45792</c:v>
                </c:pt>
                <c:pt idx="26">
                  <c:v>45793</c:v>
                </c:pt>
                <c:pt idx="28">
                  <c:v>45794</c:v>
                </c:pt>
                <c:pt idx="30">
                  <c:v>45796</c:v>
                </c:pt>
                <c:pt idx="32">
                  <c:v>45797</c:v>
                </c:pt>
                <c:pt idx="34">
                  <c:v>45798</c:v>
                </c:pt>
                <c:pt idx="36">
                  <c:v>45799</c:v>
                </c:pt>
                <c:pt idx="38">
                  <c:v>45800</c:v>
                </c:pt>
                <c:pt idx="40">
                  <c:v>45801</c:v>
                </c:pt>
                <c:pt idx="42">
                  <c:v>45803</c:v>
                </c:pt>
                <c:pt idx="44">
                  <c:v>45804</c:v>
                </c:pt>
                <c:pt idx="46">
                  <c:v>45805</c:v>
                </c:pt>
              </c:numCache>
            </c:numRef>
          </c:cat>
          <c:val>
            <c:numRef>
              <c:f>Mayo!$G$3:$G$50</c:f>
              <c:numCache>
                <c:formatCode>#,##0"$"</c:formatCode>
                <c:ptCount val="48"/>
                <c:pt idx="0">
                  <c:v>0</c:v>
                </c:pt>
                <c:pt idx="2">
                  <c:v>646328</c:v>
                </c:pt>
                <c:pt idx="4">
                  <c:v>560000</c:v>
                </c:pt>
                <c:pt idx="6">
                  <c:v>1164754</c:v>
                </c:pt>
                <c:pt idx="8">
                  <c:v>945840</c:v>
                </c:pt>
                <c:pt idx="10">
                  <c:v>969232</c:v>
                </c:pt>
                <c:pt idx="12">
                  <c:v>1242905</c:v>
                </c:pt>
                <c:pt idx="14">
                  <c:v>1124652</c:v>
                </c:pt>
                <c:pt idx="16">
                  <c:v>606247</c:v>
                </c:pt>
                <c:pt idx="18">
                  <c:v>975335</c:v>
                </c:pt>
                <c:pt idx="20">
                  <c:v>981097</c:v>
                </c:pt>
                <c:pt idx="22">
                  <c:v>1102682</c:v>
                </c:pt>
                <c:pt idx="24">
                  <c:v>1152379</c:v>
                </c:pt>
                <c:pt idx="26">
                  <c:v>1187737</c:v>
                </c:pt>
                <c:pt idx="28">
                  <c:v>590491</c:v>
                </c:pt>
                <c:pt idx="30">
                  <c:v>950368</c:v>
                </c:pt>
                <c:pt idx="32">
                  <c:v>815865</c:v>
                </c:pt>
                <c:pt idx="34">
                  <c:v>1155294</c:v>
                </c:pt>
                <c:pt idx="36">
                  <c:v>1043580</c:v>
                </c:pt>
                <c:pt idx="38">
                  <c:v>1062819</c:v>
                </c:pt>
                <c:pt idx="40">
                  <c:v>786689</c:v>
                </c:pt>
                <c:pt idx="42">
                  <c:v>953564</c:v>
                </c:pt>
                <c:pt idx="44">
                  <c:v>1188621</c:v>
                </c:pt>
                <c:pt idx="46">
                  <c:v>1165111</c:v>
                </c:pt>
              </c:numCache>
            </c:numRef>
          </c:val>
          <c:extLst>
            <c:ext xmlns:c16="http://schemas.microsoft.com/office/drawing/2014/chart" uri="{C3380CC4-5D6E-409C-BE32-E72D297353CC}">
              <c16:uniqueId val="{00000000-E1BC-4587-A35E-8FA59BCE0A13}"/>
            </c:ext>
          </c:extLst>
        </c:ser>
        <c:ser>
          <c:idx val="1"/>
          <c:order val="1"/>
          <c:tx>
            <c:v>Gastos</c:v>
          </c:tx>
          <c:spPr>
            <a:solidFill>
              <a:srgbClr val="FF0000"/>
            </a:solidFill>
            <a:ln>
              <a:noFill/>
            </a:ln>
            <a:effectLst/>
          </c:spPr>
          <c:invertIfNegative val="0"/>
          <c:cat>
            <c:numRef>
              <c:f>Mayo!$B$3:$B$50</c:f>
              <c:numCache>
                <c:formatCode>m/d/yyyy</c:formatCode>
                <c:ptCount val="48"/>
                <c:pt idx="0">
                  <c:v>45778</c:v>
                </c:pt>
                <c:pt idx="2">
                  <c:v>45779</c:v>
                </c:pt>
                <c:pt idx="4">
                  <c:v>45780</c:v>
                </c:pt>
                <c:pt idx="6">
                  <c:v>45782</c:v>
                </c:pt>
                <c:pt idx="8">
                  <c:v>45783</c:v>
                </c:pt>
                <c:pt idx="10">
                  <c:v>45784</c:v>
                </c:pt>
                <c:pt idx="12">
                  <c:v>45785</c:v>
                </c:pt>
                <c:pt idx="14">
                  <c:v>45786</c:v>
                </c:pt>
                <c:pt idx="16">
                  <c:v>45787</c:v>
                </c:pt>
                <c:pt idx="18">
                  <c:v>45789</c:v>
                </c:pt>
                <c:pt idx="20">
                  <c:v>45790</c:v>
                </c:pt>
                <c:pt idx="22">
                  <c:v>45791</c:v>
                </c:pt>
                <c:pt idx="24">
                  <c:v>45792</c:v>
                </c:pt>
                <c:pt idx="26">
                  <c:v>45793</c:v>
                </c:pt>
                <c:pt idx="28">
                  <c:v>45794</c:v>
                </c:pt>
                <c:pt idx="30">
                  <c:v>45796</c:v>
                </c:pt>
                <c:pt idx="32">
                  <c:v>45797</c:v>
                </c:pt>
                <c:pt idx="34">
                  <c:v>45798</c:v>
                </c:pt>
                <c:pt idx="36">
                  <c:v>45799</c:v>
                </c:pt>
                <c:pt idx="38">
                  <c:v>45800</c:v>
                </c:pt>
                <c:pt idx="40">
                  <c:v>45801</c:v>
                </c:pt>
                <c:pt idx="42">
                  <c:v>45803</c:v>
                </c:pt>
                <c:pt idx="44">
                  <c:v>45804</c:v>
                </c:pt>
                <c:pt idx="46">
                  <c:v>45805</c:v>
                </c:pt>
              </c:numCache>
            </c:numRef>
          </c:cat>
          <c:val>
            <c:numRef>
              <c:f>Mayo!$H$3:$H$50</c:f>
              <c:numCache>
                <c:formatCode>#,##0"$"</c:formatCode>
                <c:ptCount val="48"/>
                <c:pt idx="0">
                  <c:v>0</c:v>
                </c:pt>
                <c:pt idx="2">
                  <c:v>278300</c:v>
                </c:pt>
                <c:pt idx="4">
                  <c:v>89263</c:v>
                </c:pt>
                <c:pt idx="6">
                  <c:v>724642</c:v>
                </c:pt>
                <c:pt idx="8">
                  <c:v>443223</c:v>
                </c:pt>
                <c:pt idx="10">
                  <c:v>381531</c:v>
                </c:pt>
                <c:pt idx="12">
                  <c:v>548174</c:v>
                </c:pt>
                <c:pt idx="14">
                  <c:v>1194444</c:v>
                </c:pt>
                <c:pt idx="16">
                  <c:v>487930</c:v>
                </c:pt>
                <c:pt idx="18">
                  <c:v>546239</c:v>
                </c:pt>
                <c:pt idx="20">
                  <c:v>618462</c:v>
                </c:pt>
                <c:pt idx="22">
                  <c:v>446316</c:v>
                </c:pt>
                <c:pt idx="24">
                  <c:v>683162</c:v>
                </c:pt>
                <c:pt idx="26">
                  <c:v>788182</c:v>
                </c:pt>
                <c:pt idx="28">
                  <c:v>455526</c:v>
                </c:pt>
                <c:pt idx="30">
                  <c:v>824613</c:v>
                </c:pt>
                <c:pt idx="32">
                  <c:v>407665</c:v>
                </c:pt>
                <c:pt idx="34">
                  <c:v>325872</c:v>
                </c:pt>
                <c:pt idx="36">
                  <c:v>641516</c:v>
                </c:pt>
                <c:pt idx="38">
                  <c:v>703241</c:v>
                </c:pt>
                <c:pt idx="40">
                  <c:v>152500</c:v>
                </c:pt>
                <c:pt idx="42">
                  <c:v>659920</c:v>
                </c:pt>
                <c:pt idx="44">
                  <c:v>632119</c:v>
                </c:pt>
                <c:pt idx="46">
                  <c:v>473287</c:v>
                </c:pt>
              </c:numCache>
            </c:numRef>
          </c:val>
          <c:extLst>
            <c:ext xmlns:c16="http://schemas.microsoft.com/office/drawing/2014/chart" uri="{C3380CC4-5D6E-409C-BE32-E72D297353CC}">
              <c16:uniqueId val="{00000001-E1BC-4587-A35E-8FA59BCE0A13}"/>
            </c:ext>
          </c:extLst>
        </c:ser>
        <c:ser>
          <c:idx val="2"/>
          <c:order val="2"/>
          <c:tx>
            <c:v>Ganancia</c:v>
          </c:tx>
          <c:spPr>
            <a:solidFill>
              <a:srgbClr val="0070C0"/>
            </a:solidFill>
            <a:ln>
              <a:noFill/>
            </a:ln>
            <a:effectLst/>
          </c:spPr>
          <c:invertIfNegative val="0"/>
          <c:cat>
            <c:numRef>
              <c:f>Mayo!$B$3:$B$50</c:f>
              <c:numCache>
                <c:formatCode>m/d/yyyy</c:formatCode>
                <c:ptCount val="48"/>
                <c:pt idx="0">
                  <c:v>45778</c:v>
                </c:pt>
                <c:pt idx="2">
                  <c:v>45779</c:v>
                </c:pt>
                <c:pt idx="4">
                  <c:v>45780</c:v>
                </c:pt>
                <c:pt idx="6">
                  <c:v>45782</c:v>
                </c:pt>
                <c:pt idx="8">
                  <c:v>45783</c:v>
                </c:pt>
                <c:pt idx="10">
                  <c:v>45784</c:v>
                </c:pt>
                <c:pt idx="12">
                  <c:v>45785</c:v>
                </c:pt>
                <c:pt idx="14">
                  <c:v>45786</c:v>
                </c:pt>
                <c:pt idx="16">
                  <c:v>45787</c:v>
                </c:pt>
                <c:pt idx="18">
                  <c:v>45789</c:v>
                </c:pt>
                <c:pt idx="20">
                  <c:v>45790</c:v>
                </c:pt>
                <c:pt idx="22">
                  <c:v>45791</c:v>
                </c:pt>
                <c:pt idx="24">
                  <c:v>45792</c:v>
                </c:pt>
                <c:pt idx="26">
                  <c:v>45793</c:v>
                </c:pt>
                <c:pt idx="28">
                  <c:v>45794</c:v>
                </c:pt>
                <c:pt idx="30">
                  <c:v>45796</c:v>
                </c:pt>
                <c:pt idx="32">
                  <c:v>45797</c:v>
                </c:pt>
                <c:pt idx="34">
                  <c:v>45798</c:v>
                </c:pt>
                <c:pt idx="36">
                  <c:v>45799</c:v>
                </c:pt>
                <c:pt idx="38">
                  <c:v>45800</c:v>
                </c:pt>
                <c:pt idx="40">
                  <c:v>45801</c:v>
                </c:pt>
                <c:pt idx="42">
                  <c:v>45803</c:v>
                </c:pt>
                <c:pt idx="44">
                  <c:v>45804</c:v>
                </c:pt>
                <c:pt idx="46">
                  <c:v>45805</c:v>
                </c:pt>
              </c:numCache>
            </c:numRef>
          </c:cat>
          <c:val>
            <c:numRef>
              <c:f>Mayo!$I$3:$I$50</c:f>
              <c:numCache>
                <c:formatCode>#,##0"$"</c:formatCode>
                <c:ptCount val="48"/>
                <c:pt idx="0">
                  <c:v>0</c:v>
                </c:pt>
                <c:pt idx="2">
                  <c:v>368028</c:v>
                </c:pt>
                <c:pt idx="4">
                  <c:v>470737</c:v>
                </c:pt>
                <c:pt idx="6">
                  <c:v>440112</c:v>
                </c:pt>
                <c:pt idx="8">
                  <c:v>502617</c:v>
                </c:pt>
                <c:pt idx="10">
                  <c:v>587701</c:v>
                </c:pt>
                <c:pt idx="12">
                  <c:v>694731</c:v>
                </c:pt>
                <c:pt idx="14">
                  <c:v>-69792</c:v>
                </c:pt>
                <c:pt idx="16">
                  <c:v>118317</c:v>
                </c:pt>
                <c:pt idx="18">
                  <c:v>429096</c:v>
                </c:pt>
                <c:pt idx="20">
                  <c:v>362635</c:v>
                </c:pt>
                <c:pt idx="22">
                  <c:v>656366</c:v>
                </c:pt>
                <c:pt idx="24">
                  <c:v>469217</c:v>
                </c:pt>
                <c:pt idx="26">
                  <c:v>399555</c:v>
                </c:pt>
                <c:pt idx="28">
                  <c:v>134965</c:v>
                </c:pt>
                <c:pt idx="30">
                  <c:v>125755</c:v>
                </c:pt>
                <c:pt idx="32">
                  <c:v>408200</c:v>
                </c:pt>
                <c:pt idx="34">
                  <c:v>829422</c:v>
                </c:pt>
                <c:pt idx="36">
                  <c:v>402064</c:v>
                </c:pt>
                <c:pt idx="38">
                  <c:v>359578</c:v>
                </c:pt>
                <c:pt idx="40">
                  <c:v>634189</c:v>
                </c:pt>
                <c:pt idx="42">
                  <c:v>293644</c:v>
                </c:pt>
                <c:pt idx="44">
                  <c:v>556502</c:v>
                </c:pt>
                <c:pt idx="46">
                  <c:v>691824</c:v>
                </c:pt>
              </c:numCache>
            </c:numRef>
          </c:val>
          <c:extLst>
            <c:ext xmlns:c16="http://schemas.microsoft.com/office/drawing/2014/chart" uri="{C3380CC4-5D6E-409C-BE32-E72D297353CC}">
              <c16:uniqueId val="{00000002-E1BC-4587-A35E-8FA59BCE0A13}"/>
            </c:ext>
          </c:extLst>
        </c:ser>
        <c:dLbls>
          <c:showLegendKey val="0"/>
          <c:showVal val="0"/>
          <c:showCatName val="0"/>
          <c:showSerName val="0"/>
          <c:showPercent val="0"/>
          <c:showBubbleSize val="0"/>
        </c:dLbls>
        <c:gapWidth val="219"/>
        <c:overlap val="-27"/>
        <c:axId val="1243510208"/>
        <c:axId val="1243511168"/>
      </c:barChart>
      <c:dateAx>
        <c:axId val="124351020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1168"/>
        <c:crosses val="autoZero"/>
        <c:auto val="1"/>
        <c:lblOffset val="100"/>
        <c:baseTimeUnit val="days"/>
      </c:dateAx>
      <c:valAx>
        <c:axId val="1243511168"/>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D733-4E65-BD17-DCB97DE64EE8}"/>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D733-4E65-BD17-DCB97DE64EE8}"/>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D733-4E65-BD17-DCB97DE64EE8}"/>
              </c:ext>
            </c:extLst>
          </c:dPt>
          <c:dLbls>
            <c:dLbl>
              <c:idx val="0"/>
              <c:layout>
                <c:manualLayout>
                  <c:x val="-0.16608529131442173"/>
                  <c:y val="-8.676338279852727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1A590FDE-2208-45AC-A0CD-F82103C5D123}"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9335897806075834"/>
                      <c:h val="0.13422683124725746"/>
                    </c:manualLayout>
                  </c15:layout>
                  <c15:dlblFieldTable/>
                  <c15:showDataLabelsRange val="0"/>
                </c:ext>
                <c:ext xmlns:c16="http://schemas.microsoft.com/office/drawing/2014/chart" uri="{C3380CC4-5D6E-409C-BE32-E72D297353CC}">
                  <c16:uniqueId val="{00000001-D733-4E65-BD17-DCB97DE64EE8}"/>
                </c:ext>
              </c:extLst>
            </c:dLbl>
            <c:dLbl>
              <c:idx val="1"/>
              <c:layout>
                <c:manualLayout>
                  <c:x val="0.21649875752094536"/>
                  <c:y val="-0.2067202978121518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23734615684113361"/>
                      <c:h val="0.12632760245360161"/>
                    </c:manualLayout>
                  </c15:layout>
                  <c15:dlblFieldTable/>
                  <c15:showDataLabelsRange val="0"/>
                </c:ext>
                <c:ext xmlns:c16="http://schemas.microsoft.com/office/drawing/2014/chart" uri="{C3380CC4-5D6E-409C-BE32-E72D297353CC}">
                  <c16:uniqueId val="{00000003-D733-4E65-BD17-DCB97DE64EE8}"/>
                </c:ext>
              </c:extLst>
            </c:dLbl>
            <c:dLbl>
              <c:idx val="2"/>
              <c:layout>
                <c:manualLayout>
                  <c:x val="0.19733772262513172"/>
                  <c:y val="0.13232970696047891"/>
                </c:manualLayout>
              </c:layout>
              <c:tx>
                <c:rich>
                  <a:bodyPr/>
                  <a:lstStyle/>
                  <a:p>
                    <a:fld id="{7A558896-F28C-4764-A257-B88E2E423067}" type="VALUE">
                      <a:rPr lang="en-US" b="1">
                        <a:solidFill>
                          <a:schemeClr val="bg1"/>
                        </a:solidFill>
                      </a:rPr>
                      <a:pPr/>
                      <a:t>[VALOR]</a:t>
                    </a:fld>
                    <a:endParaRPr lang="es-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2319490972592462"/>
                      <c:h val="0.14760840411265086"/>
                    </c:manualLayout>
                  </c15:layout>
                  <c15:dlblFieldTable/>
                  <c15:showDataLabelsRange val="0"/>
                </c:ext>
                <c:ext xmlns:c16="http://schemas.microsoft.com/office/drawing/2014/chart" uri="{C3380CC4-5D6E-409C-BE32-E72D297353CC}">
                  <c16:uniqueId val="{00000005-D733-4E65-BD17-DCB97DE64EE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Junio!$G$2:$I$2</c:f>
              <c:strCache>
                <c:ptCount val="3"/>
                <c:pt idx="0">
                  <c:v>Ingreso</c:v>
                </c:pt>
                <c:pt idx="1">
                  <c:v>Gasto</c:v>
                </c:pt>
                <c:pt idx="2">
                  <c:v>Ganancia</c:v>
                </c:pt>
              </c:strCache>
            </c:strRef>
          </c:cat>
          <c:val>
            <c:numRef>
              <c:f>Junio!$G$53:$I$53</c:f>
              <c:numCache>
                <c:formatCode>#,##0"$"</c:formatCode>
                <c:ptCount val="3"/>
                <c:pt idx="0">
                  <c:v>22712881</c:v>
                </c:pt>
                <c:pt idx="1">
                  <c:v>14858214</c:v>
                </c:pt>
                <c:pt idx="2">
                  <c:v>7854667</c:v>
                </c:pt>
              </c:numCache>
            </c:numRef>
          </c:val>
          <c:extLst>
            <c:ext xmlns:c16="http://schemas.microsoft.com/office/drawing/2014/chart" uri="{C3380CC4-5D6E-409C-BE32-E72D297353CC}">
              <c16:uniqueId val="{00000006-D733-4E65-BD17-DCB97DE64EE8}"/>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AR" sz="2400" b="1">
                <a:solidFill>
                  <a:sysClr val="windowText" lastClr="000000"/>
                </a:solidFill>
              </a:rPr>
              <a:t>Balance Diario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barChart>
        <c:barDir val="col"/>
        <c:grouping val="clustered"/>
        <c:varyColors val="0"/>
        <c:ser>
          <c:idx val="0"/>
          <c:order val="0"/>
          <c:tx>
            <c:v>Ingresos</c:v>
          </c:tx>
          <c:spPr>
            <a:solidFill>
              <a:srgbClr val="00B050"/>
            </a:solidFill>
            <a:ln>
              <a:noFill/>
            </a:ln>
            <a:effectLst/>
          </c:spPr>
          <c:invertIfNegative val="0"/>
          <c:cat>
            <c:numRef>
              <c:f>Junio!$B$3:$B$44</c:f>
              <c:numCache>
                <c:formatCode>m/d/yyyy</c:formatCode>
                <c:ptCount val="42"/>
                <c:pt idx="0">
                  <c:v>45779</c:v>
                </c:pt>
                <c:pt idx="2">
                  <c:v>45780</c:v>
                </c:pt>
                <c:pt idx="4">
                  <c:v>45781</c:v>
                </c:pt>
                <c:pt idx="6">
                  <c:v>45782</c:v>
                </c:pt>
                <c:pt idx="8">
                  <c:v>45783</c:v>
                </c:pt>
                <c:pt idx="10">
                  <c:v>45784</c:v>
                </c:pt>
                <c:pt idx="12">
                  <c:v>45786</c:v>
                </c:pt>
                <c:pt idx="14">
                  <c:v>45787</c:v>
                </c:pt>
                <c:pt idx="16">
                  <c:v>45788</c:v>
                </c:pt>
                <c:pt idx="18">
                  <c:v>45789</c:v>
                </c:pt>
                <c:pt idx="20">
                  <c:v>45790</c:v>
                </c:pt>
                <c:pt idx="22">
                  <c:v>45791</c:v>
                </c:pt>
                <c:pt idx="24">
                  <c:v>45793</c:v>
                </c:pt>
                <c:pt idx="26">
                  <c:v>45794</c:v>
                </c:pt>
                <c:pt idx="28">
                  <c:v>45795</c:v>
                </c:pt>
                <c:pt idx="30">
                  <c:v>45796</c:v>
                </c:pt>
                <c:pt idx="32">
                  <c:v>45797</c:v>
                </c:pt>
                <c:pt idx="34">
                  <c:v>45798</c:v>
                </c:pt>
                <c:pt idx="36">
                  <c:v>45800</c:v>
                </c:pt>
                <c:pt idx="38">
                  <c:v>45801</c:v>
                </c:pt>
                <c:pt idx="40">
                  <c:v>45802</c:v>
                </c:pt>
              </c:numCache>
            </c:numRef>
          </c:cat>
          <c:val>
            <c:numRef>
              <c:f>Junio!$G$3:$G$44</c:f>
              <c:numCache>
                <c:formatCode>#,##0"$"</c:formatCode>
                <c:ptCount val="42"/>
                <c:pt idx="0">
                  <c:v>932504</c:v>
                </c:pt>
                <c:pt idx="2">
                  <c:v>974257</c:v>
                </c:pt>
                <c:pt idx="4">
                  <c:v>1063744</c:v>
                </c:pt>
                <c:pt idx="6">
                  <c:v>927066</c:v>
                </c:pt>
                <c:pt idx="8">
                  <c:v>1093745</c:v>
                </c:pt>
                <c:pt idx="10">
                  <c:v>904375</c:v>
                </c:pt>
                <c:pt idx="12">
                  <c:v>938813</c:v>
                </c:pt>
                <c:pt idx="14">
                  <c:v>1092696</c:v>
                </c:pt>
                <c:pt idx="16">
                  <c:v>942436</c:v>
                </c:pt>
                <c:pt idx="18">
                  <c:v>1082958</c:v>
                </c:pt>
                <c:pt idx="20">
                  <c:v>1146992</c:v>
                </c:pt>
                <c:pt idx="22">
                  <c:v>563706</c:v>
                </c:pt>
                <c:pt idx="24">
                  <c:v>530893</c:v>
                </c:pt>
                <c:pt idx="26">
                  <c:v>973271</c:v>
                </c:pt>
                <c:pt idx="28">
                  <c:v>1021036</c:v>
                </c:pt>
                <c:pt idx="30">
                  <c:v>1022448</c:v>
                </c:pt>
                <c:pt idx="32">
                  <c:v>689200</c:v>
                </c:pt>
                <c:pt idx="34">
                  <c:v>597141</c:v>
                </c:pt>
                <c:pt idx="36">
                  <c:v>709134</c:v>
                </c:pt>
                <c:pt idx="38">
                  <c:v>829298</c:v>
                </c:pt>
                <c:pt idx="40">
                  <c:v>1000951</c:v>
                </c:pt>
              </c:numCache>
            </c:numRef>
          </c:val>
          <c:extLst>
            <c:ext xmlns:c16="http://schemas.microsoft.com/office/drawing/2014/chart" uri="{C3380CC4-5D6E-409C-BE32-E72D297353CC}">
              <c16:uniqueId val="{00000000-B8DA-4E44-83A4-FA2EA621DE37}"/>
            </c:ext>
          </c:extLst>
        </c:ser>
        <c:ser>
          <c:idx val="1"/>
          <c:order val="1"/>
          <c:tx>
            <c:v>Gastos</c:v>
          </c:tx>
          <c:spPr>
            <a:solidFill>
              <a:srgbClr val="FF0000"/>
            </a:solidFill>
            <a:ln>
              <a:noFill/>
            </a:ln>
            <a:effectLst/>
          </c:spPr>
          <c:invertIfNegative val="0"/>
          <c:cat>
            <c:numRef>
              <c:f>Junio!$B$3:$B$44</c:f>
              <c:numCache>
                <c:formatCode>m/d/yyyy</c:formatCode>
                <c:ptCount val="42"/>
                <c:pt idx="0">
                  <c:v>45779</c:v>
                </c:pt>
                <c:pt idx="2">
                  <c:v>45780</c:v>
                </c:pt>
                <c:pt idx="4">
                  <c:v>45781</c:v>
                </c:pt>
                <c:pt idx="6">
                  <c:v>45782</c:v>
                </c:pt>
                <c:pt idx="8">
                  <c:v>45783</c:v>
                </c:pt>
                <c:pt idx="10">
                  <c:v>45784</c:v>
                </c:pt>
                <c:pt idx="12">
                  <c:v>45786</c:v>
                </c:pt>
                <c:pt idx="14">
                  <c:v>45787</c:v>
                </c:pt>
                <c:pt idx="16">
                  <c:v>45788</c:v>
                </c:pt>
                <c:pt idx="18">
                  <c:v>45789</c:v>
                </c:pt>
                <c:pt idx="20">
                  <c:v>45790</c:v>
                </c:pt>
                <c:pt idx="22">
                  <c:v>45791</c:v>
                </c:pt>
                <c:pt idx="24">
                  <c:v>45793</c:v>
                </c:pt>
                <c:pt idx="26">
                  <c:v>45794</c:v>
                </c:pt>
                <c:pt idx="28">
                  <c:v>45795</c:v>
                </c:pt>
                <c:pt idx="30">
                  <c:v>45796</c:v>
                </c:pt>
                <c:pt idx="32">
                  <c:v>45797</c:v>
                </c:pt>
                <c:pt idx="34">
                  <c:v>45798</c:v>
                </c:pt>
                <c:pt idx="36">
                  <c:v>45800</c:v>
                </c:pt>
                <c:pt idx="38">
                  <c:v>45801</c:v>
                </c:pt>
                <c:pt idx="40">
                  <c:v>45802</c:v>
                </c:pt>
              </c:numCache>
            </c:numRef>
          </c:cat>
          <c:val>
            <c:numRef>
              <c:f>Junio!$H$3:$H$44</c:f>
              <c:numCache>
                <c:formatCode>#,##0"$"</c:formatCode>
                <c:ptCount val="42"/>
                <c:pt idx="0">
                  <c:v>350306</c:v>
                </c:pt>
                <c:pt idx="2">
                  <c:v>741638</c:v>
                </c:pt>
                <c:pt idx="4">
                  <c:v>378785</c:v>
                </c:pt>
                <c:pt idx="6">
                  <c:v>970087</c:v>
                </c:pt>
                <c:pt idx="8">
                  <c:v>476775</c:v>
                </c:pt>
                <c:pt idx="10">
                  <c:v>860318</c:v>
                </c:pt>
                <c:pt idx="12">
                  <c:v>764527</c:v>
                </c:pt>
                <c:pt idx="14">
                  <c:v>887564</c:v>
                </c:pt>
                <c:pt idx="16">
                  <c:v>265071</c:v>
                </c:pt>
                <c:pt idx="18">
                  <c:v>660882</c:v>
                </c:pt>
                <c:pt idx="20">
                  <c:v>705175</c:v>
                </c:pt>
                <c:pt idx="22">
                  <c:v>55500</c:v>
                </c:pt>
                <c:pt idx="24">
                  <c:v>57000</c:v>
                </c:pt>
                <c:pt idx="26">
                  <c:v>885809</c:v>
                </c:pt>
                <c:pt idx="28">
                  <c:v>945948</c:v>
                </c:pt>
                <c:pt idx="30">
                  <c:v>1017567</c:v>
                </c:pt>
                <c:pt idx="32">
                  <c:v>470800</c:v>
                </c:pt>
                <c:pt idx="34">
                  <c:v>631605</c:v>
                </c:pt>
                <c:pt idx="36">
                  <c:v>560861</c:v>
                </c:pt>
                <c:pt idx="38">
                  <c:v>196562</c:v>
                </c:pt>
                <c:pt idx="40">
                  <c:v>904116</c:v>
                </c:pt>
              </c:numCache>
            </c:numRef>
          </c:val>
          <c:extLst>
            <c:ext xmlns:c16="http://schemas.microsoft.com/office/drawing/2014/chart" uri="{C3380CC4-5D6E-409C-BE32-E72D297353CC}">
              <c16:uniqueId val="{00000001-B8DA-4E44-83A4-FA2EA621DE37}"/>
            </c:ext>
          </c:extLst>
        </c:ser>
        <c:ser>
          <c:idx val="2"/>
          <c:order val="2"/>
          <c:tx>
            <c:v>Ganancia</c:v>
          </c:tx>
          <c:spPr>
            <a:solidFill>
              <a:srgbClr val="0070C0"/>
            </a:solidFill>
            <a:ln>
              <a:noFill/>
            </a:ln>
            <a:effectLst/>
          </c:spPr>
          <c:invertIfNegative val="0"/>
          <c:cat>
            <c:numRef>
              <c:f>Junio!$B$3:$B$44</c:f>
              <c:numCache>
                <c:formatCode>m/d/yyyy</c:formatCode>
                <c:ptCount val="42"/>
                <c:pt idx="0">
                  <c:v>45779</c:v>
                </c:pt>
                <c:pt idx="2">
                  <c:v>45780</c:v>
                </c:pt>
                <c:pt idx="4">
                  <c:v>45781</c:v>
                </c:pt>
                <c:pt idx="6">
                  <c:v>45782</c:v>
                </c:pt>
                <c:pt idx="8">
                  <c:v>45783</c:v>
                </c:pt>
                <c:pt idx="10">
                  <c:v>45784</c:v>
                </c:pt>
                <c:pt idx="12">
                  <c:v>45786</c:v>
                </c:pt>
                <c:pt idx="14">
                  <c:v>45787</c:v>
                </c:pt>
                <c:pt idx="16">
                  <c:v>45788</c:v>
                </c:pt>
                <c:pt idx="18">
                  <c:v>45789</c:v>
                </c:pt>
                <c:pt idx="20">
                  <c:v>45790</c:v>
                </c:pt>
                <c:pt idx="22">
                  <c:v>45791</c:v>
                </c:pt>
                <c:pt idx="24">
                  <c:v>45793</c:v>
                </c:pt>
                <c:pt idx="26">
                  <c:v>45794</c:v>
                </c:pt>
                <c:pt idx="28">
                  <c:v>45795</c:v>
                </c:pt>
                <c:pt idx="30">
                  <c:v>45796</c:v>
                </c:pt>
                <c:pt idx="32">
                  <c:v>45797</c:v>
                </c:pt>
                <c:pt idx="34">
                  <c:v>45798</c:v>
                </c:pt>
                <c:pt idx="36">
                  <c:v>45800</c:v>
                </c:pt>
                <c:pt idx="38">
                  <c:v>45801</c:v>
                </c:pt>
                <c:pt idx="40">
                  <c:v>45802</c:v>
                </c:pt>
              </c:numCache>
            </c:numRef>
          </c:cat>
          <c:val>
            <c:numRef>
              <c:f>Junio!$I$3:$I$44</c:f>
              <c:numCache>
                <c:formatCode>#,##0"$"</c:formatCode>
                <c:ptCount val="42"/>
                <c:pt idx="0">
                  <c:v>582198</c:v>
                </c:pt>
                <c:pt idx="2">
                  <c:v>232619</c:v>
                </c:pt>
                <c:pt idx="4">
                  <c:v>684959</c:v>
                </c:pt>
                <c:pt idx="6">
                  <c:v>-43021</c:v>
                </c:pt>
                <c:pt idx="8">
                  <c:v>616970</c:v>
                </c:pt>
                <c:pt idx="10">
                  <c:v>44057</c:v>
                </c:pt>
                <c:pt idx="12">
                  <c:v>174286</c:v>
                </c:pt>
                <c:pt idx="14">
                  <c:v>205132</c:v>
                </c:pt>
                <c:pt idx="16">
                  <c:v>677365</c:v>
                </c:pt>
                <c:pt idx="18">
                  <c:v>422076</c:v>
                </c:pt>
                <c:pt idx="20">
                  <c:v>441817</c:v>
                </c:pt>
                <c:pt idx="22">
                  <c:v>508206</c:v>
                </c:pt>
                <c:pt idx="24">
                  <c:v>473893</c:v>
                </c:pt>
                <c:pt idx="26">
                  <c:v>87462</c:v>
                </c:pt>
                <c:pt idx="28">
                  <c:v>75088</c:v>
                </c:pt>
                <c:pt idx="30">
                  <c:v>4881</c:v>
                </c:pt>
                <c:pt idx="32">
                  <c:v>218400</c:v>
                </c:pt>
                <c:pt idx="34">
                  <c:v>-34464</c:v>
                </c:pt>
                <c:pt idx="36">
                  <c:v>148273</c:v>
                </c:pt>
                <c:pt idx="38">
                  <c:v>632736</c:v>
                </c:pt>
                <c:pt idx="40">
                  <c:v>96835</c:v>
                </c:pt>
              </c:numCache>
            </c:numRef>
          </c:val>
          <c:extLst>
            <c:ext xmlns:c16="http://schemas.microsoft.com/office/drawing/2014/chart" uri="{C3380CC4-5D6E-409C-BE32-E72D297353CC}">
              <c16:uniqueId val="{00000002-B8DA-4E44-83A4-FA2EA621DE37}"/>
            </c:ext>
          </c:extLst>
        </c:ser>
        <c:dLbls>
          <c:showLegendKey val="0"/>
          <c:showVal val="0"/>
          <c:showCatName val="0"/>
          <c:showSerName val="0"/>
          <c:showPercent val="0"/>
          <c:showBubbleSize val="0"/>
        </c:dLbls>
        <c:gapWidth val="219"/>
        <c:overlap val="-27"/>
        <c:axId val="1243510208"/>
        <c:axId val="1243511168"/>
      </c:barChart>
      <c:dateAx>
        <c:axId val="124351020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1168"/>
        <c:crosses val="autoZero"/>
        <c:auto val="1"/>
        <c:lblOffset val="100"/>
        <c:baseTimeUnit val="days"/>
      </c:dateAx>
      <c:valAx>
        <c:axId val="1243511168"/>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C5C1-4495-A406-FB63A82D445E}"/>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C5C1-4495-A406-FB63A82D445E}"/>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C5C1-4495-A406-FB63A82D445E}"/>
              </c:ext>
            </c:extLst>
          </c:dPt>
          <c:dLbls>
            <c:dLbl>
              <c:idx val="0"/>
              <c:layout>
                <c:manualLayout>
                  <c:x val="-0.16608529131442173"/>
                  <c:y val="-8.676338279852727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1A590FDE-2208-45AC-A0CD-F82103C5D123}"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9335897806075834"/>
                      <c:h val="0.13422683124725746"/>
                    </c:manualLayout>
                  </c15:layout>
                  <c15:dlblFieldTable/>
                  <c15:showDataLabelsRange val="0"/>
                </c:ext>
                <c:ext xmlns:c16="http://schemas.microsoft.com/office/drawing/2014/chart" uri="{C3380CC4-5D6E-409C-BE32-E72D297353CC}">
                  <c16:uniqueId val="{00000001-C5C1-4495-A406-FB63A82D445E}"/>
                </c:ext>
              </c:extLst>
            </c:dLbl>
            <c:dLbl>
              <c:idx val="1"/>
              <c:layout>
                <c:manualLayout>
                  <c:x val="0.21649875752094536"/>
                  <c:y val="-0.28543771221161224"/>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23734615684113361"/>
                      <c:h val="0.12632760245360161"/>
                    </c:manualLayout>
                  </c15:layout>
                  <c15:dlblFieldTable/>
                  <c15:showDataLabelsRange val="0"/>
                </c:ext>
                <c:ext xmlns:c16="http://schemas.microsoft.com/office/drawing/2014/chart" uri="{C3380CC4-5D6E-409C-BE32-E72D297353CC}">
                  <c16:uniqueId val="{00000003-C5C1-4495-A406-FB63A82D445E}"/>
                </c:ext>
              </c:extLst>
            </c:dLbl>
            <c:dLbl>
              <c:idx val="2"/>
              <c:layout>
                <c:manualLayout>
                  <c:x val="0.23003002371693443"/>
                  <c:y val="9.2970999760748643E-2"/>
                </c:manualLayout>
              </c:layout>
              <c:tx>
                <c:rich>
                  <a:bodyPr/>
                  <a:lstStyle/>
                  <a:p>
                    <a:fld id="{7A558896-F28C-4764-A257-B88E2E423067}" type="VALUE">
                      <a:rPr lang="en-US" b="1">
                        <a:solidFill>
                          <a:schemeClr val="bg1"/>
                        </a:solidFill>
                      </a:rPr>
                      <a:pPr/>
                      <a:t>[VALOR]</a:t>
                    </a:fld>
                    <a:endParaRPr lang="es-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2319490972592462"/>
                      <c:h val="0.14760840411265086"/>
                    </c:manualLayout>
                  </c15:layout>
                  <c15:dlblFieldTable/>
                  <c15:showDataLabelsRange val="0"/>
                </c:ext>
                <c:ext xmlns:c16="http://schemas.microsoft.com/office/drawing/2014/chart" uri="{C3380CC4-5D6E-409C-BE32-E72D297353CC}">
                  <c16:uniqueId val="{00000005-C5C1-4495-A406-FB63A82D445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Julio!$G$2:$I$2</c:f>
              <c:strCache>
                <c:ptCount val="3"/>
                <c:pt idx="0">
                  <c:v>Ingreso</c:v>
                </c:pt>
                <c:pt idx="1">
                  <c:v>Gasto</c:v>
                </c:pt>
                <c:pt idx="2">
                  <c:v>Ganancia</c:v>
                </c:pt>
              </c:strCache>
            </c:strRef>
          </c:cat>
          <c:val>
            <c:numRef>
              <c:f>Julio!$G$57:$I$57</c:f>
              <c:numCache>
                <c:formatCode>#,##0"$"</c:formatCode>
                <c:ptCount val="3"/>
                <c:pt idx="0">
                  <c:v>17905501</c:v>
                </c:pt>
                <c:pt idx="1">
                  <c:v>10150223</c:v>
                </c:pt>
                <c:pt idx="2">
                  <c:v>7755278</c:v>
                </c:pt>
              </c:numCache>
            </c:numRef>
          </c:val>
          <c:extLst>
            <c:ext xmlns:c16="http://schemas.microsoft.com/office/drawing/2014/chart" uri="{C3380CC4-5D6E-409C-BE32-E72D297353CC}">
              <c16:uniqueId val="{00000006-C5C1-4495-A406-FB63A82D445E}"/>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AR" sz="2400" b="1">
                <a:solidFill>
                  <a:sysClr val="windowText" lastClr="000000"/>
                </a:solidFill>
              </a:rPr>
              <a:t>Balance Diario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barChart>
        <c:barDir val="col"/>
        <c:grouping val="clustered"/>
        <c:varyColors val="0"/>
        <c:ser>
          <c:idx val="0"/>
          <c:order val="0"/>
          <c:tx>
            <c:v>Ingresos</c:v>
          </c:tx>
          <c:spPr>
            <a:solidFill>
              <a:srgbClr val="00B050"/>
            </a:solidFill>
            <a:ln>
              <a:noFill/>
            </a:ln>
            <a:effectLst/>
          </c:spPr>
          <c:invertIfNegative val="0"/>
          <c:cat>
            <c:numRef>
              <c:f>Julio!$B$3:$B$42</c:f>
              <c:numCache>
                <c:formatCode>m/d/yyyy</c:formatCode>
                <c:ptCount val="40"/>
                <c:pt idx="0">
                  <c:v>45839</c:v>
                </c:pt>
                <c:pt idx="2">
                  <c:v>45840</c:v>
                </c:pt>
                <c:pt idx="4">
                  <c:v>45841</c:v>
                </c:pt>
                <c:pt idx="6">
                  <c:v>45842</c:v>
                </c:pt>
                <c:pt idx="8">
                  <c:v>45843</c:v>
                </c:pt>
                <c:pt idx="10">
                  <c:v>45845</c:v>
                </c:pt>
                <c:pt idx="12">
                  <c:v>45846</c:v>
                </c:pt>
                <c:pt idx="14">
                  <c:v>45847</c:v>
                </c:pt>
                <c:pt idx="16">
                  <c:v>45848</c:v>
                </c:pt>
                <c:pt idx="18">
                  <c:v>45849</c:v>
                </c:pt>
                <c:pt idx="20">
                  <c:v>45850</c:v>
                </c:pt>
                <c:pt idx="22">
                  <c:v>45852</c:v>
                </c:pt>
                <c:pt idx="24">
                  <c:v>45853</c:v>
                </c:pt>
                <c:pt idx="26">
                  <c:v>45854</c:v>
                </c:pt>
                <c:pt idx="28">
                  <c:v>45855</c:v>
                </c:pt>
                <c:pt idx="30">
                  <c:v>45856</c:v>
                </c:pt>
                <c:pt idx="32">
                  <c:v>45857</c:v>
                </c:pt>
                <c:pt idx="34">
                  <c:v>45859</c:v>
                </c:pt>
                <c:pt idx="36">
                  <c:v>45860</c:v>
                </c:pt>
                <c:pt idx="38">
                  <c:v>45861</c:v>
                </c:pt>
              </c:numCache>
            </c:numRef>
          </c:cat>
          <c:val>
            <c:numRef>
              <c:f>Julio!$G$3:$G$42</c:f>
              <c:numCache>
                <c:formatCode>#,##0"$"</c:formatCode>
                <c:ptCount val="40"/>
                <c:pt idx="0">
                  <c:v>852798</c:v>
                </c:pt>
                <c:pt idx="2">
                  <c:v>1088978</c:v>
                </c:pt>
                <c:pt idx="4">
                  <c:v>892098</c:v>
                </c:pt>
                <c:pt idx="6">
                  <c:v>979791</c:v>
                </c:pt>
                <c:pt idx="8">
                  <c:v>479117</c:v>
                </c:pt>
                <c:pt idx="10">
                  <c:v>733030</c:v>
                </c:pt>
                <c:pt idx="12">
                  <c:v>905211</c:v>
                </c:pt>
                <c:pt idx="14">
                  <c:v>694410</c:v>
                </c:pt>
                <c:pt idx="16">
                  <c:v>615657</c:v>
                </c:pt>
                <c:pt idx="18">
                  <c:v>749520</c:v>
                </c:pt>
                <c:pt idx="20">
                  <c:v>713877</c:v>
                </c:pt>
                <c:pt idx="22">
                  <c:v>694427</c:v>
                </c:pt>
                <c:pt idx="24">
                  <c:v>600795</c:v>
                </c:pt>
                <c:pt idx="26">
                  <c:v>705752</c:v>
                </c:pt>
                <c:pt idx="28">
                  <c:v>721269</c:v>
                </c:pt>
                <c:pt idx="30">
                  <c:v>688797</c:v>
                </c:pt>
                <c:pt idx="32">
                  <c:v>548681</c:v>
                </c:pt>
                <c:pt idx="34">
                  <c:v>635661</c:v>
                </c:pt>
                <c:pt idx="36">
                  <c:v>866042</c:v>
                </c:pt>
                <c:pt idx="38">
                  <c:v>810508</c:v>
                </c:pt>
              </c:numCache>
            </c:numRef>
          </c:val>
          <c:extLst>
            <c:ext xmlns:c16="http://schemas.microsoft.com/office/drawing/2014/chart" uri="{C3380CC4-5D6E-409C-BE32-E72D297353CC}">
              <c16:uniqueId val="{00000000-C530-4352-B1A0-533A4FD6AB05}"/>
            </c:ext>
          </c:extLst>
        </c:ser>
        <c:ser>
          <c:idx val="1"/>
          <c:order val="1"/>
          <c:tx>
            <c:v>Gastos</c:v>
          </c:tx>
          <c:spPr>
            <a:solidFill>
              <a:srgbClr val="FF0000"/>
            </a:solidFill>
            <a:ln>
              <a:noFill/>
            </a:ln>
            <a:effectLst/>
          </c:spPr>
          <c:invertIfNegative val="0"/>
          <c:cat>
            <c:numRef>
              <c:f>Julio!$B$3:$B$42</c:f>
              <c:numCache>
                <c:formatCode>m/d/yyyy</c:formatCode>
                <c:ptCount val="40"/>
                <c:pt idx="0">
                  <c:v>45839</c:v>
                </c:pt>
                <c:pt idx="2">
                  <c:v>45840</c:v>
                </c:pt>
                <c:pt idx="4">
                  <c:v>45841</c:v>
                </c:pt>
                <c:pt idx="6">
                  <c:v>45842</c:v>
                </c:pt>
                <c:pt idx="8">
                  <c:v>45843</c:v>
                </c:pt>
                <c:pt idx="10">
                  <c:v>45845</c:v>
                </c:pt>
                <c:pt idx="12">
                  <c:v>45846</c:v>
                </c:pt>
                <c:pt idx="14">
                  <c:v>45847</c:v>
                </c:pt>
                <c:pt idx="16">
                  <c:v>45848</c:v>
                </c:pt>
                <c:pt idx="18">
                  <c:v>45849</c:v>
                </c:pt>
                <c:pt idx="20">
                  <c:v>45850</c:v>
                </c:pt>
                <c:pt idx="22">
                  <c:v>45852</c:v>
                </c:pt>
                <c:pt idx="24">
                  <c:v>45853</c:v>
                </c:pt>
                <c:pt idx="26">
                  <c:v>45854</c:v>
                </c:pt>
                <c:pt idx="28">
                  <c:v>45855</c:v>
                </c:pt>
                <c:pt idx="30">
                  <c:v>45856</c:v>
                </c:pt>
                <c:pt idx="32">
                  <c:v>45857</c:v>
                </c:pt>
                <c:pt idx="34">
                  <c:v>45859</c:v>
                </c:pt>
                <c:pt idx="36">
                  <c:v>45860</c:v>
                </c:pt>
                <c:pt idx="38">
                  <c:v>45861</c:v>
                </c:pt>
              </c:numCache>
            </c:numRef>
          </c:cat>
          <c:val>
            <c:numRef>
              <c:f>Julio!$H$3:$H$42</c:f>
              <c:numCache>
                <c:formatCode>#,##0"$"</c:formatCode>
                <c:ptCount val="40"/>
                <c:pt idx="0">
                  <c:v>566665</c:v>
                </c:pt>
                <c:pt idx="2">
                  <c:v>275098</c:v>
                </c:pt>
                <c:pt idx="4">
                  <c:v>733801</c:v>
                </c:pt>
                <c:pt idx="6">
                  <c:v>275020</c:v>
                </c:pt>
                <c:pt idx="8">
                  <c:v>643172</c:v>
                </c:pt>
                <c:pt idx="10">
                  <c:v>491920</c:v>
                </c:pt>
                <c:pt idx="12">
                  <c:v>1033315</c:v>
                </c:pt>
                <c:pt idx="14">
                  <c:v>306000</c:v>
                </c:pt>
                <c:pt idx="16">
                  <c:v>292225</c:v>
                </c:pt>
                <c:pt idx="18">
                  <c:v>525736</c:v>
                </c:pt>
                <c:pt idx="20">
                  <c:v>49500</c:v>
                </c:pt>
                <c:pt idx="22">
                  <c:v>702347</c:v>
                </c:pt>
                <c:pt idx="24">
                  <c:v>348000</c:v>
                </c:pt>
                <c:pt idx="26">
                  <c:v>474445</c:v>
                </c:pt>
                <c:pt idx="28">
                  <c:v>753572</c:v>
                </c:pt>
                <c:pt idx="30">
                  <c:v>111200</c:v>
                </c:pt>
                <c:pt idx="32">
                  <c:v>404514</c:v>
                </c:pt>
                <c:pt idx="34">
                  <c:v>195650</c:v>
                </c:pt>
                <c:pt idx="36">
                  <c:v>534126</c:v>
                </c:pt>
                <c:pt idx="38">
                  <c:v>518338</c:v>
                </c:pt>
              </c:numCache>
            </c:numRef>
          </c:val>
          <c:extLst>
            <c:ext xmlns:c16="http://schemas.microsoft.com/office/drawing/2014/chart" uri="{C3380CC4-5D6E-409C-BE32-E72D297353CC}">
              <c16:uniqueId val="{00000001-C530-4352-B1A0-533A4FD6AB05}"/>
            </c:ext>
          </c:extLst>
        </c:ser>
        <c:ser>
          <c:idx val="2"/>
          <c:order val="2"/>
          <c:tx>
            <c:v>Ganancia</c:v>
          </c:tx>
          <c:spPr>
            <a:solidFill>
              <a:srgbClr val="0070C0"/>
            </a:solidFill>
            <a:ln>
              <a:noFill/>
            </a:ln>
            <a:effectLst/>
          </c:spPr>
          <c:invertIfNegative val="0"/>
          <c:cat>
            <c:numRef>
              <c:f>Julio!$B$3:$B$42</c:f>
              <c:numCache>
                <c:formatCode>m/d/yyyy</c:formatCode>
                <c:ptCount val="40"/>
                <c:pt idx="0">
                  <c:v>45839</c:v>
                </c:pt>
                <c:pt idx="2">
                  <c:v>45840</c:v>
                </c:pt>
                <c:pt idx="4">
                  <c:v>45841</c:v>
                </c:pt>
                <c:pt idx="6">
                  <c:v>45842</c:v>
                </c:pt>
                <c:pt idx="8">
                  <c:v>45843</c:v>
                </c:pt>
                <c:pt idx="10">
                  <c:v>45845</c:v>
                </c:pt>
                <c:pt idx="12">
                  <c:v>45846</c:v>
                </c:pt>
                <c:pt idx="14">
                  <c:v>45847</c:v>
                </c:pt>
                <c:pt idx="16">
                  <c:v>45848</c:v>
                </c:pt>
                <c:pt idx="18">
                  <c:v>45849</c:v>
                </c:pt>
                <c:pt idx="20">
                  <c:v>45850</c:v>
                </c:pt>
                <c:pt idx="22">
                  <c:v>45852</c:v>
                </c:pt>
                <c:pt idx="24">
                  <c:v>45853</c:v>
                </c:pt>
                <c:pt idx="26">
                  <c:v>45854</c:v>
                </c:pt>
                <c:pt idx="28">
                  <c:v>45855</c:v>
                </c:pt>
                <c:pt idx="30">
                  <c:v>45856</c:v>
                </c:pt>
                <c:pt idx="32">
                  <c:v>45857</c:v>
                </c:pt>
                <c:pt idx="34">
                  <c:v>45859</c:v>
                </c:pt>
                <c:pt idx="36">
                  <c:v>45860</c:v>
                </c:pt>
                <c:pt idx="38">
                  <c:v>45861</c:v>
                </c:pt>
              </c:numCache>
            </c:numRef>
          </c:cat>
          <c:val>
            <c:numRef>
              <c:f>Julio!$I$3:$I$42</c:f>
              <c:numCache>
                <c:formatCode>#,##0"$"</c:formatCode>
                <c:ptCount val="40"/>
                <c:pt idx="0">
                  <c:v>286133</c:v>
                </c:pt>
                <c:pt idx="2">
                  <c:v>813880</c:v>
                </c:pt>
                <c:pt idx="4">
                  <c:v>158297</c:v>
                </c:pt>
                <c:pt idx="6">
                  <c:v>704771</c:v>
                </c:pt>
                <c:pt idx="8">
                  <c:v>-164055</c:v>
                </c:pt>
                <c:pt idx="10">
                  <c:v>241110</c:v>
                </c:pt>
                <c:pt idx="12">
                  <c:v>-128104</c:v>
                </c:pt>
                <c:pt idx="14">
                  <c:v>388410</c:v>
                </c:pt>
                <c:pt idx="16">
                  <c:v>323432</c:v>
                </c:pt>
                <c:pt idx="18">
                  <c:v>223784</c:v>
                </c:pt>
                <c:pt idx="20">
                  <c:v>664377</c:v>
                </c:pt>
                <c:pt idx="22">
                  <c:v>-7920</c:v>
                </c:pt>
                <c:pt idx="24">
                  <c:v>252795</c:v>
                </c:pt>
                <c:pt idx="26">
                  <c:v>231307</c:v>
                </c:pt>
                <c:pt idx="28">
                  <c:v>-32303</c:v>
                </c:pt>
                <c:pt idx="30">
                  <c:v>577597</c:v>
                </c:pt>
                <c:pt idx="32">
                  <c:v>144167</c:v>
                </c:pt>
                <c:pt idx="34">
                  <c:v>440011</c:v>
                </c:pt>
                <c:pt idx="36">
                  <c:v>331916</c:v>
                </c:pt>
                <c:pt idx="38">
                  <c:v>292170</c:v>
                </c:pt>
              </c:numCache>
            </c:numRef>
          </c:val>
          <c:extLst>
            <c:ext xmlns:c16="http://schemas.microsoft.com/office/drawing/2014/chart" uri="{C3380CC4-5D6E-409C-BE32-E72D297353CC}">
              <c16:uniqueId val="{00000002-C530-4352-B1A0-533A4FD6AB05}"/>
            </c:ext>
          </c:extLst>
        </c:ser>
        <c:dLbls>
          <c:showLegendKey val="0"/>
          <c:showVal val="0"/>
          <c:showCatName val="0"/>
          <c:showSerName val="0"/>
          <c:showPercent val="0"/>
          <c:showBubbleSize val="0"/>
        </c:dLbls>
        <c:gapWidth val="219"/>
        <c:overlap val="-27"/>
        <c:axId val="1243510208"/>
        <c:axId val="1243511168"/>
      </c:barChart>
      <c:dateAx>
        <c:axId val="124351020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1168"/>
        <c:crosses val="autoZero"/>
        <c:auto val="1"/>
        <c:lblOffset val="100"/>
        <c:baseTimeUnit val="days"/>
      </c:dateAx>
      <c:valAx>
        <c:axId val="1243511168"/>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54D3-41FC-9AA6-D908DD6CB1CE}"/>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54D3-41FC-9AA6-D908DD6CB1CE}"/>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54D3-41FC-9AA6-D908DD6CB1CE}"/>
              </c:ext>
            </c:extLst>
          </c:dPt>
          <c:dLbls>
            <c:dLbl>
              <c:idx val="0"/>
              <c:layout>
                <c:manualLayout>
                  <c:x val="-0.16608529131442173"/>
                  <c:y val="-8.676338279852727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1A590FDE-2208-45AC-A0CD-F82103C5D123}"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9335897806075834"/>
                      <c:h val="0.13422683124725746"/>
                    </c:manualLayout>
                  </c15:layout>
                  <c15:dlblFieldTable/>
                  <c15:showDataLabelsRange val="0"/>
                </c:ext>
                <c:ext xmlns:c16="http://schemas.microsoft.com/office/drawing/2014/chart" uri="{C3380CC4-5D6E-409C-BE32-E72D297353CC}">
                  <c16:uniqueId val="{00000001-54D3-41FC-9AA6-D908DD6CB1CE}"/>
                </c:ext>
              </c:extLst>
            </c:dLbl>
            <c:dLbl>
              <c:idx val="1"/>
              <c:layout>
                <c:manualLayout>
                  <c:x val="0.18653081485345951"/>
                  <c:y val="-9.6515917652906957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23734615684113361"/>
                      <c:h val="0.12632760245360161"/>
                    </c:manualLayout>
                  </c15:layout>
                  <c15:dlblFieldTable/>
                  <c15:showDataLabelsRange val="0"/>
                </c:ext>
                <c:ext xmlns:c16="http://schemas.microsoft.com/office/drawing/2014/chart" uri="{C3380CC4-5D6E-409C-BE32-E72D297353CC}">
                  <c16:uniqueId val="{00000003-54D3-41FC-9AA6-D908DD6CB1CE}"/>
                </c:ext>
              </c:extLst>
            </c:dLbl>
            <c:dLbl>
              <c:idx val="2"/>
              <c:layout>
                <c:manualLayout>
                  <c:x val="0.14829927098742762"/>
                  <c:y val="0.14413731912039798"/>
                </c:manualLayout>
              </c:layout>
              <c:tx>
                <c:rich>
                  <a:bodyPr/>
                  <a:lstStyle/>
                  <a:p>
                    <a:fld id="{7A558896-F28C-4764-A257-B88E2E423067}" type="VALUE">
                      <a:rPr lang="en-US" b="1">
                        <a:solidFill>
                          <a:schemeClr val="bg1"/>
                        </a:solidFill>
                      </a:rPr>
                      <a:pPr/>
                      <a:t>[VALOR]</a:t>
                    </a:fld>
                    <a:endParaRPr lang="es-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2319490972592462"/>
                      <c:h val="0.14760840411265086"/>
                    </c:manualLayout>
                  </c15:layout>
                  <c15:dlblFieldTable/>
                  <c15:showDataLabelsRange val="0"/>
                </c:ext>
                <c:ext xmlns:c16="http://schemas.microsoft.com/office/drawing/2014/chart" uri="{C3380CC4-5D6E-409C-BE32-E72D297353CC}">
                  <c16:uniqueId val="{00000005-54D3-41FC-9AA6-D908DD6CB1C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Agosto_25!$G$2:$I$2</c:f>
              <c:strCache>
                <c:ptCount val="3"/>
                <c:pt idx="0">
                  <c:v>Ingreso</c:v>
                </c:pt>
                <c:pt idx="1">
                  <c:v>Gasto</c:v>
                </c:pt>
                <c:pt idx="2">
                  <c:v>Ganancia</c:v>
                </c:pt>
              </c:strCache>
            </c:strRef>
          </c:cat>
          <c:val>
            <c:numRef>
              <c:f>Agosto_25!$G$55:$I$55</c:f>
              <c:numCache>
                <c:formatCode>#,##0"$"</c:formatCode>
                <c:ptCount val="3"/>
                <c:pt idx="0">
                  <c:v>22131598</c:v>
                </c:pt>
                <c:pt idx="1">
                  <c:v>14790380</c:v>
                </c:pt>
                <c:pt idx="2">
                  <c:v>7341218</c:v>
                </c:pt>
              </c:numCache>
            </c:numRef>
          </c:val>
          <c:extLst>
            <c:ext xmlns:c16="http://schemas.microsoft.com/office/drawing/2014/chart" uri="{C3380CC4-5D6E-409C-BE32-E72D297353CC}">
              <c16:uniqueId val="{00000006-54D3-41FC-9AA6-D908DD6CB1CE}"/>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AR" sz="2400" b="1">
                <a:solidFill>
                  <a:sysClr val="windowText" lastClr="000000"/>
                </a:solidFill>
              </a:rPr>
              <a:t>Balance Diario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barChart>
        <c:barDir val="col"/>
        <c:grouping val="clustered"/>
        <c:varyColors val="0"/>
        <c:ser>
          <c:idx val="0"/>
          <c:order val="0"/>
          <c:tx>
            <c:v>Ingresos</c:v>
          </c:tx>
          <c:spPr>
            <a:solidFill>
              <a:srgbClr val="00B050"/>
            </a:solidFill>
            <a:ln>
              <a:noFill/>
            </a:ln>
            <a:effectLst/>
          </c:spPr>
          <c:invertIfNegative val="0"/>
          <c:cat>
            <c:numRef>
              <c:f>Agosto_25!$B$3:$B$36</c:f>
              <c:numCache>
                <c:formatCode>m/d/yyyy</c:formatCode>
                <c:ptCount val="34"/>
                <c:pt idx="0">
                  <c:v>45870</c:v>
                </c:pt>
                <c:pt idx="2">
                  <c:v>45871</c:v>
                </c:pt>
                <c:pt idx="4">
                  <c:v>45873</c:v>
                </c:pt>
                <c:pt idx="6">
                  <c:v>45874</c:v>
                </c:pt>
                <c:pt idx="8">
                  <c:v>45875</c:v>
                </c:pt>
                <c:pt idx="10">
                  <c:v>45876</c:v>
                </c:pt>
                <c:pt idx="12">
                  <c:v>45877</c:v>
                </c:pt>
                <c:pt idx="14">
                  <c:v>45878</c:v>
                </c:pt>
                <c:pt idx="16">
                  <c:v>45880</c:v>
                </c:pt>
                <c:pt idx="18">
                  <c:v>45881</c:v>
                </c:pt>
                <c:pt idx="20">
                  <c:v>45882</c:v>
                </c:pt>
                <c:pt idx="22">
                  <c:v>45883</c:v>
                </c:pt>
                <c:pt idx="24">
                  <c:v>45884</c:v>
                </c:pt>
                <c:pt idx="26">
                  <c:v>45885</c:v>
                </c:pt>
                <c:pt idx="28">
                  <c:v>45887</c:v>
                </c:pt>
                <c:pt idx="30">
                  <c:v>45888</c:v>
                </c:pt>
                <c:pt idx="32">
                  <c:v>45889</c:v>
                </c:pt>
              </c:numCache>
            </c:numRef>
          </c:cat>
          <c:val>
            <c:numRef>
              <c:f>Agosto_25!$G$3:$G$36</c:f>
              <c:numCache>
                <c:formatCode>#,##0"$"</c:formatCode>
                <c:ptCount val="34"/>
                <c:pt idx="0">
                  <c:v>967905</c:v>
                </c:pt>
                <c:pt idx="2">
                  <c:v>541490</c:v>
                </c:pt>
                <c:pt idx="4">
                  <c:v>960363</c:v>
                </c:pt>
                <c:pt idx="6">
                  <c:v>1171092</c:v>
                </c:pt>
                <c:pt idx="8">
                  <c:v>886838</c:v>
                </c:pt>
                <c:pt idx="10">
                  <c:v>912953</c:v>
                </c:pt>
                <c:pt idx="12">
                  <c:v>1238222</c:v>
                </c:pt>
                <c:pt idx="14">
                  <c:v>621187</c:v>
                </c:pt>
                <c:pt idx="16">
                  <c:v>712317</c:v>
                </c:pt>
                <c:pt idx="18">
                  <c:v>864354</c:v>
                </c:pt>
                <c:pt idx="20">
                  <c:v>902660</c:v>
                </c:pt>
                <c:pt idx="22">
                  <c:v>949403</c:v>
                </c:pt>
                <c:pt idx="24">
                  <c:v>820259</c:v>
                </c:pt>
                <c:pt idx="26">
                  <c:v>486297</c:v>
                </c:pt>
                <c:pt idx="28">
                  <c:v>981026</c:v>
                </c:pt>
                <c:pt idx="30">
                  <c:v>1128925</c:v>
                </c:pt>
                <c:pt idx="32">
                  <c:v>899002</c:v>
                </c:pt>
              </c:numCache>
            </c:numRef>
          </c:val>
          <c:extLst>
            <c:ext xmlns:c16="http://schemas.microsoft.com/office/drawing/2014/chart" uri="{C3380CC4-5D6E-409C-BE32-E72D297353CC}">
              <c16:uniqueId val="{00000000-BD86-429E-B829-82FE3A385BD6}"/>
            </c:ext>
          </c:extLst>
        </c:ser>
        <c:ser>
          <c:idx val="1"/>
          <c:order val="1"/>
          <c:tx>
            <c:v>Gastos</c:v>
          </c:tx>
          <c:spPr>
            <a:solidFill>
              <a:srgbClr val="FF0000"/>
            </a:solidFill>
            <a:ln>
              <a:noFill/>
            </a:ln>
            <a:effectLst/>
          </c:spPr>
          <c:invertIfNegative val="0"/>
          <c:cat>
            <c:numRef>
              <c:f>Agosto_25!$B$3:$B$36</c:f>
              <c:numCache>
                <c:formatCode>m/d/yyyy</c:formatCode>
                <c:ptCount val="34"/>
                <c:pt idx="0">
                  <c:v>45870</c:v>
                </c:pt>
                <c:pt idx="2">
                  <c:v>45871</c:v>
                </c:pt>
                <c:pt idx="4">
                  <c:v>45873</c:v>
                </c:pt>
                <c:pt idx="6">
                  <c:v>45874</c:v>
                </c:pt>
                <c:pt idx="8">
                  <c:v>45875</c:v>
                </c:pt>
                <c:pt idx="10">
                  <c:v>45876</c:v>
                </c:pt>
                <c:pt idx="12">
                  <c:v>45877</c:v>
                </c:pt>
                <c:pt idx="14">
                  <c:v>45878</c:v>
                </c:pt>
                <c:pt idx="16">
                  <c:v>45880</c:v>
                </c:pt>
                <c:pt idx="18">
                  <c:v>45881</c:v>
                </c:pt>
                <c:pt idx="20">
                  <c:v>45882</c:v>
                </c:pt>
                <c:pt idx="22">
                  <c:v>45883</c:v>
                </c:pt>
                <c:pt idx="24">
                  <c:v>45884</c:v>
                </c:pt>
                <c:pt idx="26">
                  <c:v>45885</c:v>
                </c:pt>
                <c:pt idx="28">
                  <c:v>45887</c:v>
                </c:pt>
                <c:pt idx="30">
                  <c:v>45888</c:v>
                </c:pt>
                <c:pt idx="32">
                  <c:v>45889</c:v>
                </c:pt>
              </c:numCache>
            </c:numRef>
          </c:cat>
          <c:val>
            <c:numRef>
              <c:f>Agosto_25!$H$3:$H$36</c:f>
              <c:numCache>
                <c:formatCode>#,##0"$"</c:formatCode>
                <c:ptCount val="34"/>
                <c:pt idx="0">
                  <c:v>574670</c:v>
                </c:pt>
                <c:pt idx="2">
                  <c:v>589675</c:v>
                </c:pt>
                <c:pt idx="4">
                  <c:v>997482</c:v>
                </c:pt>
                <c:pt idx="6">
                  <c:v>491652</c:v>
                </c:pt>
                <c:pt idx="8">
                  <c:v>649002</c:v>
                </c:pt>
                <c:pt idx="10">
                  <c:v>1035242</c:v>
                </c:pt>
                <c:pt idx="12">
                  <c:v>1147379</c:v>
                </c:pt>
                <c:pt idx="14">
                  <c:v>400500</c:v>
                </c:pt>
                <c:pt idx="16">
                  <c:v>308694</c:v>
                </c:pt>
                <c:pt idx="18">
                  <c:v>617472</c:v>
                </c:pt>
                <c:pt idx="20">
                  <c:v>622771</c:v>
                </c:pt>
                <c:pt idx="22">
                  <c:v>380488</c:v>
                </c:pt>
                <c:pt idx="24">
                  <c:v>134650</c:v>
                </c:pt>
                <c:pt idx="26">
                  <c:v>246356</c:v>
                </c:pt>
                <c:pt idx="28">
                  <c:v>150177</c:v>
                </c:pt>
                <c:pt idx="30">
                  <c:v>1109978</c:v>
                </c:pt>
                <c:pt idx="32">
                  <c:v>864087</c:v>
                </c:pt>
              </c:numCache>
            </c:numRef>
          </c:val>
          <c:extLst>
            <c:ext xmlns:c16="http://schemas.microsoft.com/office/drawing/2014/chart" uri="{C3380CC4-5D6E-409C-BE32-E72D297353CC}">
              <c16:uniqueId val="{00000001-BD86-429E-B829-82FE3A385BD6}"/>
            </c:ext>
          </c:extLst>
        </c:ser>
        <c:ser>
          <c:idx val="2"/>
          <c:order val="2"/>
          <c:tx>
            <c:v>Ganancia</c:v>
          </c:tx>
          <c:spPr>
            <a:solidFill>
              <a:srgbClr val="0070C0"/>
            </a:solidFill>
            <a:ln>
              <a:noFill/>
            </a:ln>
            <a:effectLst/>
          </c:spPr>
          <c:invertIfNegative val="0"/>
          <c:cat>
            <c:numRef>
              <c:f>Agosto_25!$B$3:$B$36</c:f>
              <c:numCache>
                <c:formatCode>m/d/yyyy</c:formatCode>
                <c:ptCount val="34"/>
                <c:pt idx="0">
                  <c:v>45870</c:v>
                </c:pt>
                <c:pt idx="2">
                  <c:v>45871</c:v>
                </c:pt>
                <c:pt idx="4">
                  <c:v>45873</c:v>
                </c:pt>
                <c:pt idx="6">
                  <c:v>45874</c:v>
                </c:pt>
                <c:pt idx="8">
                  <c:v>45875</c:v>
                </c:pt>
                <c:pt idx="10">
                  <c:v>45876</c:v>
                </c:pt>
                <c:pt idx="12">
                  <c:v>45877</c:v>
                </c:pt>
                <c:pt idx="14">
                  <c:v>45878</c:v>
                </c:pt>
                <c:pt idx="16">
                  <c:v>45880</c:v>
                </c:pt>
                <c:pt idx="18">
                  <c:v>45881</c:v>
                </c:pt>
                <c:pt idx="20">
                  <c:v>45882</c:v>
                </c:pt>
                <c:pt idx="22">
                  <c:v>45883</c:v>
                </c:pt>
                <c:pt idx="24">
                  <c:v>45884</c:v>
                </c:pt>
                <c:pt idx="26">
                  <c:v>45885</c:v>
                </c:pt>
                <c:pt idx="28">
                  <c:v>45887</c:v>
                </c:pt>
                <c:pt idx="30">
                  <c:v>45888</c:v>
                </c:pt>
                <c:pt idx="32">
                  <c:v>45889</c:v>
                </c:pt>
              </c:numCache>
            </c:numRef>
          </c:cat>
          <c:val>
            <c:numRef>
              <c:f>Agosto_25!$I$3:$I$36</c:f>
              <c:numCache>
                <c:formatCode>#,##0"$"</c:formatCode>
                <c:ptCount val="34"/>
                <c:pt idx="0">
                  <c:v>393235</c:v>
                </c:pt>
                <c:pt idx="2">
                  <c:v>-48185</c:v>
                </c:pt>
                <c:pt idx="4">
                  <c:v>-37119</c:v>
                </c:pt>
                <c:pt idx="6">
                  <c:v>679440</c:v>
                </c:pt>
                <c:pt idx="8">
                  <c:v>237836</c:v>
                </c:pt>
                <c:pt idx="10">
                  <c:v>-122289</c:v>
                </c:pt>
                <c:pt idx="12">
                  <c:v>90843</c:v>
                </c:pt>
                <c:pt idx="14">
                  <c:v>220687</c:v>
                </c:pt>
                <c:pt idx="16">
                  <c:v>403623</c:v>
                </c:pt>
                <c:pt idx="18">
                  <c:v>246882</c:v>
                </c:pt>
                <c:pt idx="20">
                  <c:v>279889</c:v>
                </c:pt>
                <c:pt idx="22">
                  <c:v>568915</c:v>
                </c:pt>
                <c:pt idx="24">
                  <c:v>685609</c:v>
                </c:pt>
                <c:pt idx="26">
                  <c:v>239941</c:v>
                </c:pt>
                <c:pt idx="28">
                  <c:v>830849</c:v>
                </c:pt>
                <c:pt idx="30">
                  <c:v>18947</c:v>
                </c:pt>
                <c:pt idx="32">
                  <c:v>34915</c:v>
                </c:pt>
              </c:numCache>
            </c:numRef>
          </c:val>
          <c:extLst>
            <c:ext xmlns:c16="http://schemas.microsoft.com/office/drawing/2014/chart" uri="{C3380CC4-5D6E-409C-BE32-E72D297353CC}">
              <c16:uniqueId val="{00000002-BD86-429E-B829-82FE3A385BD6}"/>
            </c:ext>
          </c:extLst>
        </c:ser>
        <c:dLbls>
          <c:showLegendKey val="0"/>
          <c:showVal val="0"/>
          <c:showCatName val="0"/>
          <c:showSerName val="0"/>
          <c:showPercent val="0"/>
          <c:showBubbleSize val="0"/>
        </c:dLbls>
        <c:gapWidth val="219"/>
        <c:overlap val="-27"/>
        <c:axId val="1243510208"/>
        <c:axId val="1243511168"/>
      </c:barChart>
      <c:dateAx>
        <c:axId val="124351020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1168"/>
        <c:crosses val="autoZero"/>
        <c:auto val="1"/>
        <c:lblOffset val="100"/>
        <c:baseTimeUnit val="days"/>
      </c:dateAx>
      <c:valAx>
        <c:axId val="1243511168"/>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AD25-4CE0-A8A4-AD758B8A4EA0}"/>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AD25-4CE0-A8A4-AD758B8A4EA0}"/>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AD25-4CE0-A8A4-AD758B8A4EA0}"/>
              </c:ext>
            </c:extLst>
          </c:dPt>
          <c:dLbls>
            <c:dLbl>
              <c:idx val="0"/>
              <c:layout>
                <c:manualLayout>
                  <c:x val="-0.16608529131442173"/>
                  <c:y val="-8.676338279852727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1A590FDE-2208-45AC-A0CD-F82103C5D123}"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9335897806075834"/>
                      <c:h val="0.13422683124725746"/>
                    </c:manualLayout>
                  </c15:layout>
                  <c15:dlblFieldTable/>
                  <c15:showDataLabelsRange val="0"/>
                </c:ext>
                <c:ext xmlns:c16="http://schemas.microsoft.com/office/drawing/2014/chart" uri="{C3380CC4-5D6E-409C-BE32-E72D297353CC}">
                  <c16:uniqueId val="{00000001-AD25-4CE0-A8A4-AD758B8A4EA0}"/>
                </c:ext>
              </c:extLst>
            </c:dLbl>
            <c:dLbl>
              <c:idx val="1"/>
              <c:layout>
                <c:manualLayout>
                  <c:x val="0.19470389012641021"/>
                  <c:y val="-0.18704088624624357"/>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23734615684113361"/>
                      <c:h val="0.12632760245360161"/>
                    </c:manualLayout>
                  </c15:layout>
                  <c15:dlblFieldTable/>
                  <c15:showDataLabelsRange val="0"/>
                </c:ext>
                <c:ext xmlns:c16="http://schemas.microsoft.com/office/drawing/2014/chart" uri="{C3380CC4-5D6E-409C-BE32-E72D297353CC}">
                  <c16:uniqueId val="{00000003-AD25-4CE0-A8A4-AD758B8A4EA0}"/>
                </c:ext>
              </c:extLst>
            </c:dLbl>
            <c:dLbl>
              <c:idx val="2"/>
              <c:layout>
                <c:manualLayout>
                  <c:x val="0.17826721365491346"/>
                  <c:y val="0.12052205744943877"/>
                </c:manualLayout>
              </c:layout>
              <c:tx>
                <c:rich>
                  <a:bodyPr/>
                  <a:lstStyle/>
                  <a:p>
                    <a:fld id="{7A558896-F28C-4764-A257-B88E2E423067}" type="VALUE">
                      <a:rPr lang="en-US" b="1">
                        <a:solidFill>
                          <a:schemeClr val="bg1"/>
                        </a:solidFill>
                      </a:rPr>
                      <a:pPr/>
                      <a:t>[VALOR]</a:t>
                    </a:fld>
                    <a:endParaRPr lang="es-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2319490972592462"/>
                      <c:h val="0.14760840411265086"/>
                    </c:manualLayout>
                  </c15:layout>
                  <c15:dlblFieldTable/>
                  <c15:showDataLabelsRange val="0"/>
                </c:ext>
                <c:ext xmlns:c16="http://schemas.microsoft.com/office/drawing/2014/chart" uri="{C3380CC4-5D6E-409C-BE32-E72D297353CC}">
                  <c16:uniqueId val="{00000005-AD25-4CE0-A8A4-AD758B8A4EA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Septiembre_25!$G$2:$I$2</c:f>
              <c:strCache>
                <c:ptCount val="3"/>
                <c:pt idx="0">
                  <c:v>Ingreso</c:v>
                </c:pt>
                <c:pt idx="1">
                  <c:v>Gasto</c:v>
                </c:pt>
                <c:pt idx="2">
                  <c:v>Ganancia</c:v>
                </c:pt>
              </c:strCache>
            </c:strRef>
          </c:cat>
          <c:val>
            <c:numRef>
              <c:f>Septiembre_25!$G$55:$I$55</c:f>
              <c:numCache>
                <c:formatCode>#,##0"$"</c:formatCode>
                <c:ptCount val="3"/>
                <c:pt idx="0">
                  <c:v>21336631</c:v>
                </c:pt>
                <c:pt idx="1">
                  <c:v>13756509</c:v>
                </c:pt>
                <c:pt idx="2">
                  <c:v>7580122</c:v>
                </c:pt>
              </c:numCache>
            </c:numRef>
          </c:val>
          <c:extLst>
            <c:ext xmlns:c16="http://schemas.microsoft.com/office/drawing/2014/chart" uri="{C3380CC4-5D6E-409C-BE32-E72D297353CC}">
              <c16:uniqueId val="{00000006-AD25-4CE0-A8A4-AD758B8A4EA0}"/>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AR" sz="2400" b="1">
                <a:solidFill>
                  <a:sysClr val="windowText" lastClr="000000"/>
                </a:solidFill>
              </a:rPr>
              <a:t>Balance Diario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barChart>
        <c:barDir val="col"/>
        <c:grouping val="clustered"/>
        <c:varyColors val="0"/>
        <c:ser>
          <c:idx val="0"/>
          <c:order val="0"/>
          <c:tx>
            <c:v>Ingresos</c:v>
          </c:tx>
          <c:spPr>
            <a:solidFill>
              <a:srgbClr val="00B050"/>
            </a:solidFill>
            <a:ln>
              <a:noFill/>
            </a:ln>
            <a:effectLst/>
          </c:spPr>
          <c:invertIfNegative val="0"/>
          <c:cat>
            <c:numRef>
              <c:f>Septiembre_25!$B$3:$B$32</c:f>
              <c:numCache>
                <c:formatCode>m/d/yyyy</c:formatCode>
                <c:ptCount val="30"/>
                <c:pt idx="0">
                  <c:v>45901</c:v>
                </c:pt>
                <c:pt idx="2">
                  <c:v>45902</c:v>
                </c:pt>
                <c:pt idx="4">
                  <c:v>45903</c:v>
                </c:pt>
                <c:pt idx="6">
                  <c:v>45904</c:v>
                </c:pt>
                <c:pt idx="8">
                  <c:v>45905</c:v>
                </c:pt>
                <c:pt idx="10">
                  <c:v>45906</c:v>
                </c:pt>
                <c:pt idx="12">
                  <c:v>45908</c:v>
                </c:pt>
                <c:pt idx="14">
                  <c:v>45909</c:v>
                </c:pt>
                <c:pt idx="16">
                  <c:v>45910</c:v>
                </c:pt>
                <c:pt idx="18">
                  <c:v>45911</c:v>
                </c:pt>
                <c:pt idx="20">
                  <c:v>45912</c:v>
                </c:pt>
                <c:pt idx="22">
                  <c:v>45913</c:v>
                </c:pt>
                <c:pt idx="24">
                  <c:v>45915</c:v>
                </c:pt>
                <c:pt idx="26">
                  <c:v>45916</c:v>
                </c:pt>
                <c:pt idx="28">
                  <c:v>45917</c:v>
                </c:pt>
              </c:numCache>
            </c:numRef>
          </c:cat>
          <c:val>
            <c:numRef>
              <c:f>Septiembre_25!$G$3:$G$32</c:f>
              <c:numCache>
                <c:formatCode>#,##0"$"</c:formatCode>
                <c:ptCount val="30"/>
                <c:pt idx="0">
                  <c:v>1001766</c:v>
                </c:pt>
                <c:pt idx="2">
                  <c:v>827559</c:v>
                </c:pt>
                <c:pt idx="4">
                  <c:v>1007785</c:v>
                </c:pt>
                <c:pt idx="6">
                  <c:v>1085132</c:v>
                </c:pt>
                <c:pt idx="8">
                  <c:v>1041548</c:v>
                </c:pt>
                <c:pt idx="10">
                  <c:v>665708</c:v>
                </c:pt>
                <c:pt idx="12">
                  <c:v>1028148</c:v>
                </c:pt>
                <c:pt idx="14">
                  <c:v>862340</c:v>
                </c:pt>
                <c:pt idx="16">
                  <c:v>925979</c:v>
                </c:pt>
                <c:pt idx="18">
                  <c:v>725469</c:v>
                </c:pt>
                <c:pt idx="20">
                  <c:v>780317</c:v>
                </c:pt>
                <c:pt idx="22">
                  <c:v>624813</c:v>
                </c:pt>
                <c:pt idx="24">
                  <c:v>703730</c:v>
                </c:pt>
                <c:pt idx="26">
                  <c:v>833144</c:v>
                </c:pt>
                <c:pt idx="28">
                  <c:v>786494</c:v>
                </c:pt>
              </c:numCache>
            </c:numRef>
          </c:val>
          <c:extLst>
            <c:ext xmlns:c16="http://schemas.microsoft.com/office/drawing/2014/chart" uri="{C3380CC4-5D6E-409C-BE32-E72D297353CC}">
              <c16:uniqueId val="{00000000-2DC5-474C-8FAE-16655E3CD4DD}"/>
            </c:ext>
          </c:extLst>
        </c:ser>
        <c:ser>
          <c:idx val="1"/>
          <c:order val="1"/>
          <c:tx>
            <c:v>Gastos</c:v>
          </c:tx>
          <c:spPr>
            <a:solidFill>
              <a:srgbClr val="FF0000"/>
            </a:solidFill>
            <a:ln>
              <a:noFill/>
            </a:ln>
            <a:effectLst/>
          </c:spPr>
          <c:invertIfNegative val="0"/>
          <c:cat>
            <c:numRef>
              <c:f>Septiembre_25!$B$3:$B$32</c:f>
              <c:numCache>
                <c:formatCode>m/d/yyyy</c:formatCode>
                <c:ptCount val="30"/>
                <c:pt idx="0">
                  <c:v>45901</c:v>
                </c:pt>
                <c:pt idx="2">
                  <c:v>45902</c:v>
                </c:pt>
                <c:pt idx="4">
                  <c:v>45903</c:v>
                </c:pt>
                <c:pt idx="6">
                  <c:v>45904</c:v>
                </c:pt>
                <c:pt idx="8">
                  <c:v>45905</c:v>
                </c:pt>
                <c:pt idx="10">
                  <c:v>45906</c:v>
                </c:pt>
                <c:pt idx="12">
                  <c:v>45908</c:v>
                </c:pt>
                <c:pt idx="14">
                  <c:v>45909</c:v>
                </c:pt>
                <c:pt idx="16">
                  <c:v>45910</c:v>
                </c:pt>
                <c:pt idx="18">
                  <c:v>45911</c:v>
                </c:pt>
                <c:pt idx="20">
                  <c:v>45912</c:v>
                </c:pt>
                <c:pt idx="22">
                  <c:v>45913</c:v>
                </c:pt>
                <c:pt idx="24">
                  <c:v>45915</c:v>
                </c:pt>
                <c:pt idx="26">
                  <c:v>45916</c:v>
                </c:pt>
                <c:pt idx="28">
                  <c:v>45917</c:v>
                </c:pt>
              </c:numCache>
            </c:numRef>
          </c:cat>
          <c:val>
            <c:numRef>
              <c:f>Septiembre_25!$H$3:$H$32</c:f>
              <c:numCache>
                <c:formatCode>#,##0"$"</c:formatCode>
                <c:ptCount val="30"/>
                <c:pt idx="0">
                  <c:v>646251</c:v>
                </c:pt>
                <c:pt idx="2">
                  <c:v>535261</c:v>
                </c:pt>
                <c:pt idx="4">
                  <c:v>228916</c:v>
                </c:pt>
                <c:pt idx="6">
                  <c:v>673253</c:v>
                </c:pt>
                <c:pt idx="8">
                  <c:v>411205</c:v>
                </c:pt>
                <c:pt idx="10">
                  <c:v>394753</c:v>
                </c:pt>
                <c:pt idx="12">
                  <c:v>529960</c:v>
                </c:pt>
                <c:pt idx="14">
                  <c:v>1176111</c:v>
                </c:pt>
                <c:pt idx="16">
                  <c:v>711397</c:v>
                </c:pt>
                <c:pt idx="18">
                  <c:v>775753</c:v>
                </c:pt>
                <c:pt idx="20">
                  <c:v>451655</c:v>
                </c:pt>
                <c:pt idx="22">
                  <c:v>407688</c:v>
                </c:pt>
                <c:pt idx="24">
                  <c:v>694732</c:v>
                </c:pt>
                <c:pt idx="26">
                  <c:v>550854</c:v>
                </c:pt>
                <c:pt idx="28">
                  <c:v>331080</c:v>
                </c:pt>
              </c:numCache>
            </c:numRef>
          </c:val>
          <c:extLst>
            <c:ext xmlns:c16="http://schemas.microsoft.com/office/drawing/2014/chart" uri="{C3380CC4-5D6E-409C-BE32-E72D297353CC}">
              <c16:uniqueId val="{00000001-2DC5-474C-8FAE-16655E3CD4DD}"/>
            </c:ext>
          </c:extLst>
        </c:ser>
        <c:ser>
          <c:idx val="2"/>
          <c:order val="2"/>
          <c:tx>
            <c:v>Ganancia</c:v>
          </c:tx>
          <c:spPr>
            <a:solidFill>
              <a:srgbClr val="0070C0"/>
            </a:solidFill>
            <a:ln>
              <a:noFill/>
            </a:ln>
            <a:effectLst/>
          </c:spPr>
          <c:invertIfNegative val="0"/>
          <c:cat>
            <c:numRef>
              <c:f>Septiembre_25!$B$3:$B$32</c:f>
              <c:numCache>
                <c:formatCode>m/d/yyyy</c:formatCode>
                <c:ptCount val="30"/>
                <c:pt idx="0">
                  <c:v>45901</c:v>
                </c:pt>
                <c:pt idx="2">
                  <c:v>45902</c:v>
                </c:pt>
                <c:pt idx="4">
                  <c:v>45903</c:v>
                </c:pt>
                <c:pt idx="6">
                  <c:v>45904</c:v>
                </c:pt>
                <c:pt idx="8">
                  <c:v>45905</c:v>
                </c:pt>
                <c:pt idx="10">
                  <c:v>45906</c:v>
                </c:pt>
                <c:pt idx="12">
                  <c:v>45908</c:v>
                </c:pt>
                <c:pt idx="14">
                  <c:v>45909</c:v>
                </c:pt>
                <c:pt idx="16">
                  <c:v>45910</c:v>
                </c:pt>
                <c:pt idx="18">
                  <c:v>45911</c:v>
                </c:pt>
                <c:pt idx="20">
                  <c:v>45912</c:v>
                </c:pt>
                <c:pt idx="22">
                  <c:v>45913</c:v>
                </c:pt>
                <c:pt idx="24">
                  <c:v>45915</c:v>
                </c:pt>
                <c:pt idx="26">
                  <c:v>45916</c:v>
                </c:pt>
                <c:pt idx="28">
                  <c:v>45917</c:v>
                </c:pt>
              </c:numCache>
            </c:numRef>
          </c:cat>
          <c:val>
            <c:numRef>
              <c:f>Septiembre_25!$I$3:$I$32</c:f>
              <c:numCache>
                <c:formatCode>#,##0"$"</c:formatCode>
                <c:ptCount val="30"/>
                <c:pt idx="0">
                  <c:v>355515</c:v>
                </c:pt>
                <c:pt idx="2">
                  <c:v>292298</c:v>
                </c:pt>
                <c:pt idx="4">
                  <c:v>778869</c:v>
                </c:pt>
                <c:pt idx="6">
                  <c:v>411879</c:v>
                </c:pt>
                <c:pt idx="8">
                  <c:v>630343</c:v>
                </c:pt>
                <c:pt idx="10">
                  <c:v>270955</c:v>
                </c:pt>
                <c:pt idx="12">
                  <c:v>498188</c:v>
                </c:pt>
                <c:pt idx="14">
                  <c:v>-313771</c:v>
                </c:pt>
                <c:pt idx="16">
                  <c:v>214582</c:v>
                </c:pt>
                <c:pt idx="18">
                  <c:v>-50284</c:v>
                </c:pt>
                <c:pt idx="20">
                  <c:v>328662</c:v>
                </c:pt>
                <c:pt idx="22">
                  <c:v>217125</c:v>
                </c:pt>
                <c:pt idx="24">
                  <c:v>8998</c:v>
                </c:pt>
                <c:pt idx="26">
                  <c:v>282290</c:v>
                </c:pt>
                <c:pt idx="28">
                  <c:v>455414</c:v>
                </c:pt>
              </c:numCache>
            </c:numRef>
          </c:val>
          <c:extLst>
            <c:ext xmlns:c16="http://schemas.microsoft.com/office/drawing/2014/chart" uri="{C3380CC4-5D6E-409C-BE32-E72D297353CC}">
              <c16:uniqueId val="{00000002-2DC5-474C-8FAE-16655E3CD4DD}"/>
            </c:ext>
          </c:extLst>
        </c:ser>
        <c:dLbls>
          <c:showLegendKey val="0"/>
          <c:showVal val="0"/>
          <c:showCatName val="0"/>
          <c:showSerName val="0"/>
          <c:showPercent val="0"/>
          <c:showBubbleSize val="0"/>
        </c:dLbls>
        <c:gapWidth val="219"/>
        <c:overlap val="-27"/>
        <c:axId val="1243510208"/>
        <c:axId val="1243511168"/>
      </c:barChart>
      <c:dateAx>
        <c:axId val="124351020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1168"/>
        <c:crosses val="autoZero"/>
        <c:auto val="1"/>
        <c:lblOffset val="100"/>
        <c:baseTimeUnit val="days"/>
      </c:dateAx>
      <c:valAx>
        <c:axId val="1243511168"/>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D48A-4B67-9538-813DB162FA98}"/>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D48A-4B67-9538-813DB162FA98}"/>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D48A-4B67-9538-813DB162FA98}"/>
              </c:ext>
            </c:extLst>
          </c:dPt>
          <c:dLbls>
            <c:dLbl>
              <c:idx val="0"/>
              <c:layout>
                <c:manualLayout>
                  <c:x val="-0.16608529131442173"/>
                  <c:y val="-8.676338279852727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1A590FDE-2208-45AC-A0CD-F82103C5D123}"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9335897806075834"/>
                      <c:h val="0.13422683124725746"/>
                    </c:manualLayout>
                  </c15:layout>
                  <c15:dlblFieldTable/>
                  <c15:showDataLabelsRange val="0"/>
                </c:ext>
                <c:ext xmlns:c16="http://schemas.microsoft.com/office/drawing/2014/chart" uri="{C3380CC4-5D6E-409C-BE32-E72D297353CC}">
                  <c16:uniqueId val="{00000001-D48A-4B67-9538-813DB162FA98}"/>
                </c:ext>
              </c:extLst>
            </c:dLbl>
            <c:dLbl>
              <c:idx val="1"/>
              <c:layout>
                <c:manualLayout>
                  <c:x val="0.19470389012641021"/>
                  <c:y val="-0.18704088624624357"/>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23734615684113361"/>
                      <c:h val="0.12632760245360161"/>
                    </c:manualLayout>
                  </c15:layout>
                  <c15:dlblFieldTable/>
                  <c15:showDataLabelsRange val="0"/>
                </c:ext>
                <c:ext xmlns:c16="http://schemas.microsoft.com/office/drawing/2014/chart" uri="{C3380CC4-5D6E-409C-BE32-E72D297353CC}">
                  <c16:uniqueId val="{00000003-D48A-4B67-9538-813DB162FA98}"/>
                </c:ext>
              </c:extLst>
            </c:dLbl>
            <c:dLbl>
              <c:idx val="2"/>
              <c:layout>
                <c:manualLayout>
                  <c:x val="0.17826721365491346"/>
                  <c:y val="0.12052205744943877"/>
                </c:manualLayout>
              </c:layout>
              <c:tx>
                <c:rich>
                  <a:bodyPr/>
                  <a:lstStyle/>
                  <a:p>
                    <a:fld id="{7A558896-F28C-4764-A257-B88E2E423067}" type="VALUE">
                      <a:rPr lang="en-US" b="1">
                        <a:solidFill>
                          <a:schemeClr val="bg1"/>
                        </a:solidFill>
                      </a:rPr>
                      <a:pPr/>
                      <a:t>[VALOR]</a:t>
                    </a:fld>
                    <a:endParaRPr lang="es-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2319490972592462"/>
                      <c:h val="0.14760840411265086"/>
                    </c:manualLayout>
                  </c15:layout>
                  <c15:dlblFieldTable/>
                  <c15:showDataLabelsRange val="0"/>
                </c:ext>
                <c:ext xmlns:c16="http://schemas.microsoft.com/office/drawing/2014/chart" uri="{C3380CC4-5D6E-409C-BE32-E72D297353CC}">
                  <c16:uniqueId val="{00000005-D48A-4B67-9538-813DB162FA9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Octubre_25!$G$2:$I$2</c:f>
              <c:strCache>
                <c:ptCount val="3"/>
                <c:pt idx="0">
                  <c:v>Ingreso</c:v>
                </c:pt>
                <c:pt idx="1">
                  <c:v>Gasto</c:v>
                </c:pt>
                <c:pt idx="2">
                  <c:v>Ganancia</c:v>
                </c:pt>
              </c:strCache>
            </c:strRef>
          </c:cat>
          <c:val>
            <c:numRef>
              <c:f>Octubre_25!$G$57:$I$57</c:f>
              <c:numCache>
                <c:formatCode>#,##0"$"</c:formatCode>
                <c:ptCount val="3"/>
                <c:pt idx="0">
                  <c:v>22846807</c:v>
                </c:pt>
                <c:pt idx="1">
                  <c:v>13850929</c:v>
                </c:pt>
                <c:pt idx="2">
                  <c:v>8995878</c:v>
                </c:pt>
              </c:numCache>
            </c:numRef>
          </c:val>
          <c:extLst>
            <c:ext xmlns:c16="http://schemas.microsoft.com/office/drawing/2014/chart" uri="{C3380CC4-5D6E-409C-BE32-E72D297353CC}">
              <c16:uniqueId val="{00000006-D48A-4B67-9538-813DB162FA98}"/>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AR" sz="2400" b="1">
                <a:solidFill>
                  <a:sysClr val="windowText" lastClr="000000"/>
                </a:solidFill>
              </a:rPr>
              <a:t>Balance Diario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barChart>
        <c:barDir val="col"/>
        <c:grouping val="clustered"/>
        <c:varyColors val="0"/>
        <c:ser>
          <c:idx val="0"/>
          <c:order val="0"/>
          <c:tx>
            <c:v>Ingresos</c:v>
          </c:tx>
          <c:spPr>
            <a:solidFill>
              <a:srgbClr val="00B050"/>
            </a:solidFill>
            <a:ln>
              <a:noFill/>
            </a:ln>
            <a:effectLst/>
          </c:spPr>
          <c:invertIfNegative val="0"/>
          <c:cat>
            <c:numRef>
              <c:f>Octubre_25!$B$3:$B$56</c:f>
              <c:numCache>
                <c:formatCode>m/d/yyyy</c:formatCode>
                <c:ptCount val="54"/>
                <c:pt idx="0">
                  <c:v>45931</c:v>
                </c:pt>
                <c:pt idx="2">
                  <c:v>45932</c:v>
                </c:pt>
                <c:pt idx="4">
                  <c:v>45933</c:v>
                </c:pt>
                <c:pt idx="6">
                  <c:v>45934</c:v>
                </c:pt>
                <c:pt idx="8">
                  <c:v>45936</c:v>
                </c:pt>
                <c:pt idx="10">
                  <c:v>45937</c:v>
                </c:pt>
                <c:pt idx="12">
                  <c:v>45938</c:v>
                </c:pt>
                <c:pt idx="14">
                  <c:v>45939</c:v>
                </c:pt>
                <c:pt idx="16">
                  <c:v>45940</c:v>
                </c:pt>
                <c:pt idx="18">
                  <c:v>45941</c:v>
                </c:pt>
                <c:pt idx="20">
                  <c:v>45943</c:v>
                </c:pt>
                <c:pt idx="22">
                  <c:v>45944</c:v>
                </c:pt>
                <c:pt idx="24">
                  <c:v>45945</c:v>
                </c:pt>
                <c:pt idx="26">
                  <c:v>45946</c:v>
                </c:pt>
                <c:pt idx="28">
                  <c:v>45947</c:v>
                </c:pt>
                <c:pt idx="30">
                  <c:v>45948</c:v>
                </c:pt>
                <c:pt idx="32">
                  <c:v>45950</c:v>
                </c:pt>
                <c:pt idx="34">
                  <c:v>45951</c:v>
                </c:pt>
                <c:pt idx="36">
                  <c:v>45952</c:v>
                </c:pt>
                <c:pt idx="38">
                  <c:v>45953</c:v>
                </c:pt>
                <c:pt idx="40">
                  <c:v>45954</c:v>
                </c:pt>
                <c:pt idx="42">
                  <c:v>45955</c:v>
                </c:pt>
                <c:pt idx="44">
                  <c:v>45957</c:v>
                </c:pt>
                <c:pt idx="46">
                  <c:v>45958</c:v>
                </c:pt>
                <c:pt idx="48">
                  <c:v>45959</c:v>
                </c:pt>
                <c:pt idx="50">
                  <c:v>45960</c:v>
                </c:pt>
                <c:pt idx="52">
                  <c:v>45961</c:v>
                </c:pt>
              </c:numCache>
            </c:numRef>
          </c:cat>
          <c:val>
            <c:numRef>
              <c:f>Octubre_25!$G$3:$G$56</c:f>
              <c:numCache>
                <c:formatCode>#,##0"$"</c:formatCode>
                <c:ptCount val="54"/>
                <c:pt idx="0">
                  <c:v>995653</c:v>
                </c:pt>
                <c:pt idx="2">
                  <c:v>857540</c:v>
                </c:pt>
                <c:pt idx="4">
                  <c:v>958345</c:v>
                </c:pt>
                <c:pt idx="6">
                  <c:v>550318</c:v>
                </c:pt>
                <c:pt idx="8">
                  <c:v>787363</c:v>
                </c:pt>
                <c:pt idx="10">
                  <c:v>1044132</c:v>
                </c:pt>
                <c:pt idx="12">
                  <c:v>972805</c:v>
                </c:pt>
                <c:pt idx="14">
                  <c:v>990097</c:v>
                </c:pt>
                <c:pt idx="16">
                  <c:v>417569</c:v>
                </c:pt>
                <c:pt idx="18">
                  <c:v>597055</c:v>
                </c:pt>
                <c:pt idx="20">
                  <c:v>746277</c:v>
                </c:pt>
                <c:pt idx="22">
                  <c:v>821147</c:v>
                </c:pt>
                <c:pt idx="24">
                  <c:v>866467</c:v>
                </c:pt>
                <c:pt idx="26">
                  <c:v>1036836</c:v>
                </c:pt>
                <c:pt idx="28">
                  <c:v>1167053</c:v>
                </c:pt>
                <c:pt idx="30">
                  <c:v>509832</c:v>
                </c:pt>
                <c:pt idx="32">
                  <c:v>609357</c:v>
                </c:pt>
                <c:pt idx="34">
                  <c:v>764273</c:v>
                </c:pt>
                <c:pt idx="36">
                  <c:v>733852</c:v>
                </c:pt>
                <c:pt idx="38">
                  <c:v>714014</c:v>
                </c:pt>
                <c:pt idx="40">
                  <c:v>1019191</c:v>
                </c:pt>
                <c:pt idx="42">
                  <c:v>746672</c:v>
                </c:pt>
                <c:pt idx="44">
                  <c:v>1210059</c:v>
                </c:pt>
                <c:pt idx="46">
                  <c:v>1211365</c:v>
                </c:pt>
                <c:pt idx="48">
                  <c:v>836802</c:v>
                </c:pt>
                <c:pt idx="50">
                  <c:v>936132</c:v>
                </c:pt>
                <c:pt idx="52">
                  <c:v>746601</c:v>
                </c:pt>
              </c:numCache>
            </c:numRef>
          </c:val>
          <c:extLst>
            <c:ext xmlns:c16="http://schemas.microsoft.com/office/drawing/2014/chart" uri="{C3380CC4-5D6E-409C-BE32-E72D297353CC}">
              <c16:uniqueId val="{00000000-7EB3-4C35-B966-2A8EC65CB7B6}"/>
            </c:ext>
          </c:extLst>
        </c:ser>
        <c:ser>
          <c:idx val="1"/>
          <c:order val="1"/>
          <c:tx>
            <c:v>Gastos</c:v>
          </c:tx>
          <c:spPr>
            <a:solidFill>
              <a:srgbClr val="FF0000"/>
            </a:solidFill>
            <a:ln>
              <a:noFill/>
            </a:ln>
            <a:effectLst/>
          </c:spPr>
          <c:invertIfNegative val="0"/>
          <c:cat>
            <c:numRef>
              <c:f>Octubre_25!$B$3:$B$56</c:f>
              <c:numCache>
                <c:formatCode>m/d/yyyy</c:formatCode>
                <c:ptCount val="54"/>
                <c:pt idx="0">
                  <c:v>45931</c:v>
                </c:pt>
                <c:pt idx="2">
                  <c:v>45932</c:v>
                </c:pt>
                <c:pt idx="4">
                  <c:v>45933</c:v>
                </c:pt>
                <c:pt idx="6">
                  <c:v>45934</c:v>
                </c:pt>
                <c:pt idx="8">
                  <c:v>45936</c:v>
                </c:pt>
                <c:pt idx="10">
                  <c:v>45937</c:v>
                </c:pt>
                <c:pt idx="12">
                  <c:v>45938</c:v>
                </c:pt>
                <c:pt idx="14">
                  <c:v>45939</c:v>
                </c:pt>
                <c:pt idx="16">
                  <c:v>45940</c:v>
                </c:pt>
                <c:pt idx="18">
                  <c:v>45941</c:v>
                </c:pt>
                <c:pt idx="20">
                  <c:v>45943</c:v>
                </c:pt>
                <c:pt idx="22">
                  <c:v>45944</c:v>
                </c:pt>
                <c:pt idx="24">
                  <c:v>45945</c:v>
                </c:pt>
                <c:pt idx="26">
                  <c:v>45946</c:v>
                </c:pt>
                <c:pt idx="28">
                  <c:v>45947</c:v>
                </c:pt>
                <c:pt idx="30">
                  <c:v>45948</c:v>
                </c:pt>
                <c:pt idx="32">
                  <c:v>45950</c:v>
                </c:pt>
                <c:pt idx="34">
                  <c:v>45951</c:v>
                </c:pt>
                <c:pt idx="36">
                  <c:v>45952</c:v>
                </c:pt>
                <c:pt idx="38">
                  <c:v>45953</c:v>
                </c:pt>
                <c:pt idx="40">
                  <c:v>45954</c:v>
                </c:pt>
                <c:pt idx="42">
                  <c:v>45955</c:v>
                </c:pt>
                <c:pt idx="44">
                  <c:v>45957</c:v>
                </c:pt>
                <c:pt idx="46">
                  <c:v>45958</c:v>
                </c:pt>
                <c:pt idx="48">
                  <c:v>45959</c:v>
                </c:pt>
                <c:pt idx="50">
                  <c:v>45960</c:v>
                </c:pt>
                <c:pt idx="52">
                  <c:v>45961</c:v>
                </c:pt>
              </c:numCache>
            </c:numRef>
          </c:cat>
          <c:val>
            <c:numRef>
              <c:f>Octubre_25!$H$3:$H$56</c:f>
              <c:numCache>
                <c:formatCode>#,##0"$"</c:formatCode>
                <c:ptCount val="54"/>
                <c:pt idx="0">
                  <c:v>543548</c:v>
                </c:pt>
                <c:pt idx="2">
                  <c:v>853292</c:v>
                </c:pt>
                <c:pt idx="4">
                  <c:v>535133</c:v>
                </c:pt>
                <c:pt idx="6">
                  <c:v>83500</c:v>
                </c:pt>
                <c:pt idx="8">
                  <c:v>440964</c:v>
                </c:pt>
                <c:pt idx="10">
                  <c:v>364172</c:v>
                </c:pt>
                <c:pt idx="12">
                  <c:v>599595</c:v>
                </c:pt>
                <c:pt idx="14">
                  <c:v>749864</c:v>
                </c:pt>
                <c:pt idx="16">
                  <c:v>562136</c:v>
                </c:pt>
                <c:pt idx="18">
                  <c:v>348966</c:v>
                </c:pt>
                <c:pt idx="20">
                  <c:v>568805</c:v>
                </c:pt>
                <c:pt idx="22">
                  <c:v>539385</c:v>
                </c:pt>
                <c:pt idx="24">
                  <c:v>442369</c:v>
                </c:pt>
                <c:pt idx="26">
                  <c:v>369563</c:v>
                </c:pt>
                <c:pt idx="28">
                  <c:v>780704</c:v>
                </c:pt>
                <c:pt idx="30">
                  <c:v>40000</c:v>
                </c:pt>
                <c:pt idx="32">
                  <c:v>382026</c:v>
                </c:pt>
                <c:pt idx="34">
                  <c:v>293935</c:v>
                </c:pt>
                <c:pt idx="36">
                  <c:v>360086</c:v>
                </c:pt>
                <c:pt idx="38">
                  <c:v>713812</c:v>
                </c:pt>
                <c:pt idx="40">
                  <c:v>644555</c:v>
                </c:pt>
                <c:pt idx="42">
                  <c:v>442759</c:v>
                </c:pt>
                <c:pt idx="44">
                  <c:v>941410</c:v>
                </c:pt>
                <c:pt idx="46">
                  <c:v>761133</c:v>
                </c:pt>
                <c:pt idx="48">
                  <c:v>473965</c:v>
                </c:pt>
                <c:pt idx="50">
                  <c:v>491243</c:v>
                </c:pt>
                <c:pt idx="52">
                  <c:v>524009</c:v>
                </c:pt>
              </c:numCache>
            </c:numRef>
          </c:val>
          <c:extLst>
            <c:ext xmlns:c16="http://schemas.microsoft.com/office/drawing/2014/chart" uri="{C3380CC4-5D6E-409C-BE32-E72D297353CC}">
              <c16:uniqueId val="{00000001-7EB3-4C35-B966-2A8EC65CB7B6}"/>
            </c:ext>
          </c:extLst>
        </c:ser>
        <c:ser>
          <c:idx val="2"/>
          <c:order val="2"/>
          <c:tx>
            <c:v>Ganancia</c:v>
          </c:tx>
          <c:spPr>
            <a:solidFill>
              <a:srgbClr val="0070C0"/>
            </a:solidFill>
            <a:ln>
              <a:noFill/>
            </a:ln>
            <a:effectLst/>
          </c:spPr>
          <c:invertIfNegative val="0"/>
          <c:cat>
            <c:numRef>
              <c:f>Octubre_25!$B$3:$B$56</c:f>
              <c:numCache>
                <c:formatCode>m/d/yyyy</c:formatCode>
                <c:ptCount val="54"/>
                <c:pt idx="0">
                  <c:v>45931</c:v>
                </c:pt>
                <c:pt idx="2">
                  <c:v>45932</c:v>
                </c:pt>
                <c:pt idx="4">
                  <c:v>45933</c:v>
                </c:pt>
                <c:pt idx="6">
                  <c:v>45934</c:v>
                </c:pt>
                <c:pt idx="8">
                  <c:v>45936</c:v>
                </c:pt>
                <c:pt idx="10">
                  <c:v>45937</c:v>
                </c:pt>
                <c:pt idx="12">
                  <c:v>45938</c:v>
                </c:pt>
                <c:pt idx="14">
                  <c:v>45939</c:v>
                </c:pt>
                <c:pt idx="16">
                  <c:v>45940</c:v>
                </c:pt>
                <c:pt idx="18">
                  <c:v>45941</c:v>
                </c:pt>
                <c:pt idx="20">
                  <c:v>45943</c:v>
                </c:pt>
                <c:pt idx="22">
                  <c:v>45944</c:v>
                </c:pt>
                <c:pt idx="24">
                  <c:v>45945</c:v>
                </c:pt>
                <c:pt idx="26">
                  <c:v>45946</c:v>
                </c:pt>
                <c:pt idx="28">
                  <c:v>45947</c:v>
                </c:pt>
                <c:pt idx="30">
                  <c:v>45948</c:v>
                </c:pt>
                <c:pt idx="32">
                  <c:v>45950</c:v>
                </c:pt>
                <c:pt idx="34">
                  <c:v>45951</c:v>
                </c:pt>
                <c:pt idx="36">
                  <c:v>45952</c:v>
                </c:pt>
                <c:pt idx="38">
                  <c:v>45953</c:v>
                </c:pt>
                <c:pt idx="40">
                  <c:v>45954</c:v>
                </c:pt>
                <c:pt idx="42">
                  <c:v>45955</c:v>
                </c:pt>
                <c:pt idx="44">
                  <c:v>45957</c:v>
                </c:pt>
                <c:pt idx="46">
                  <c:v>45958</c:v>
                </c:pt>
                <c:pt idx="48">
                  <c:v>45959</c:v>
                </c:pt>
                <c:pt idx="50">
                  <c:v>45960</c:v>
                </c:pt>
                <c:pt idx="52">
                  <c:v>45961</c:v>
                </c:pt>
              </c:numCache>
            </c:numRef>
          </c:cat>
          <c:val>
            <c:numRef>
              <c:f>Octubre_25!$I$3:$I$56</c:f>
              <c:numCache>
                <c:formatCode>#,##0"$"</c:formatCode>
                <c:ptCount val="54"/>
                <c:pt idx="0">
                  <c:v>452105</c:v>
                </c:pt>
                <c:pt idx="2">
                  <c:v>4248</c:v>
                </c:pt>
                <c:pt idx="4">
                  <c:v>423212</c:v>
                </c:pt>
                <c:pt idx="6">
                  <c:v>466818</c:v>
                </c:pt>
                <c:pt idx="8">
                  <c:v>346399</c:v>
                </c:pt>
                <c:pt idx="10">
                  <c:v>679960</c:v>
                </c:pt>
                <c:pt idx="12">
                  <c:v>373210</c:v>
                </c:pt>
                <c:pt idx="14">
                  <c:v>240233</c:v>
                </c:pt>
                <c:pt idx="16">
                  <c:v>-144567</c:v>
                </c:pt>
                <c:pt idx="18">
                  <c:v>248089</c:v>
                </c:pt>
                <c:pt idx="20">
                  <c:v>177472</c:v>
                </c:pt>
                <c:pt idx="22">
                  <c:v>281762</c:v>
                </c:pt>
                <c:pt idx="24">
                  <c:v>424098</c:v>
                </c:pt>
                <c:pt idx="26">
                  <c:v>667273</c:v>
                </c:pt>
                <c:pt idx="28">
                  <c:v>386349</c:v>
                </c:pt>
                <c:pt idx="30">
                  <c:v>469832</c:v>
                </c:pt>
                <c:pt idx="32">
                  <c:v>227331</c:v>
                </c:pt>
                <c:pt idx="34">
                  <c:v>470338</c:v>
                </c:pt>
                <c:pt idx="36">
                  <c:v>373766</c:v>
                </c:pt>
                <c:pt idx="38">
                  <c:v>202</c:v>
                </c:pt>
                <c:pt idx="40">
                  <c:v>374636</c:v>
                </c:pt>
                <c:pt idx="42">
                  <c:v>303913</c:v>
                </c:pt>
                <c:pt idx="44">
                  <c:v>268649</c:v>
                </c:pt>
                <c:pt idx="46">
                  <c:v>450232</c:v>
                </c:pt>
                <c:pt idx="48">
                  <c:v>362837</c:v>
                </c:pt>
                <c:pt idx="50">
                  <c:v>444889</c:v>
                </c:pt>
                <c:pt idx="52">
                  <c:v>222592</c:v>
                </c:pt>
              </c:numCache>
            </c:numRef>
          </c:val>
          <c:extLst>
            <c:ext xmlns:c16="http://schemas.microsoft.com/office/drawing/2014/chart" uri="{C3380CC4-5D6E-409C-BE32-E72D297353CC}">
              <c16:uniqueId val="{00000002-7EB3-4C35-B966-2A8EC65CB7B6}"/>
            </c:ext>
          </c:extLst>
        </c:ser>
        <c:dLbls>
          <c:showLegendKey val="0"/>
          <c:showVal val="0"/>
          <c:showCatName val="0"/>
          <c:showSerName val="0"/>
          <c:showPercent val="0"/>
          <c:showBubbleSize val="0"/>
        </c:dLbls>
        <c:gapWidth val="219"/>
        <c:overlap val="-27"/>
        <c:axId val="1243510208"/>
        <c:axId val="1243511168"/>
      </c:barChart>
      <c:dateAx>
        <c:axId val="124351020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1168"/>
        <c:crosses val="autoZero"/>
        <c:auto val="1"/>
        <c:lblOffset val="100"/>
        <c:baseTimeUnit val="days"/>
      </c:dateAx>
      <c:valAx>
        <c:axId val="1243511168"/>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A31A-474C-AED4-26786E8439A6}"/>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A31A-474C-AED4-26786E8439A6}"/>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A31A-474C-AED4-26786E8439A6}"/>
              </c:ext>
            </c:extLst>
          </c:dPt>
          <c:dLbls>
            <c:dLbl>
              <c:idx val="0"/>
              <c:layout>
                <c:manualLayout>
                  <c:x val="-0.16608529131442173"/>
                  <c:y val="-8.676338279852727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1A590FDE-2208-45AC-A0CD-F82103C5D123}"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9335897806075834"/>
                      <c:h val="0.13422683124725746"/>
                    </c:manualLayout>
                  </c15:layout>
                  <c15:dlblFieldTable/>
                  <c15:showDataLabelsRange val="0"/>
                </c:ext>
                <c:ext xmlns:c16="http://schemas.microsoft.com/office/drawing/2014/chart" uri="{C3380CC4-5D6E-409C-BE32-E72D297353CC}">
                  <c16:uniqueId val="{00000001-A31A-474C-AED4-26786E8439A6}"/>
                </c:ext>
              </c:extLst>
            </c:dLbl>
            <c:dLbl>
              <c:idx val="1"/>
              <c:layout>
                <c:manualLayout>
                  <c:x val="0.19470389012641021"/>
                  <c:y val="-0.18704088624624357"/>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23734615684113361"/>
                      <c:h val="0.12632760245360161"/>
                    </c:manualLayout>
                  </c15:layout>
                  <c15:dlblFieldTable/>
                  <c15:showDataLabelsRange val="0"/>
                </c:ext>
                <c:ext xmlns:c16="http://schemas.microsoft.com/office/drawing/2014/chart" uri="{C3380CC4-5D6E-409C-BE32-E72D297353CC}">
                  <c16:uniqueId val="{00000003-A31A-474C-AED4-26786E8439A6}"/>
                </c:ext>
              </c:extLst>
            </c:dLbl>
            <c:dLbl>
              <c:idx val="2"/>
              <c:layout>
                <c:manualLayout>
                  <c:x val="0.17826721365491346"/>
                  <c:y val="0.12052205744943877"/>
                </c:manualLayout>
              </c:layout>
              <c:tx>
                <c:rich>
                  <a:bodyPr/>
                  <a:lstStyle/>
                  <a:p>
                    <a:fld id="{7A558896-F28C-4764-A257-B88E2E423067}" type="VALUE">
                      <a:rPr lang="en-US" b="1">
                        <a:solidFill>
                          <a:schemeClr val="bg1"/>
                        </a:solidFill>
                      </a:rPr>
                      <a:pPr/>
                      <a:t>[VALOR]</a:t>
                    </a:fld>
                    <a:endParaRPr lang="es-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2319490972592462"/>
                      <c:h val="0.14760840411265086"/>
                    </c:manualLayout>
                  </c15:layout>
                  <c15:dlblFieldTable/>
                  <c15:showDataLabelsRange val="0"/>
                </c:ext>
                <c:ext xmlns:c16="http://schemas.microsoft.com/office/drawing/2014/chart" uri="{C3380CC4-5D6E-409C-BE32-E72D297353CC}">
                  <c16:uniqueId val="{00000005-A31A-474C-AED4-26786E8439A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Noviembre_25!$G$2:$I$2</c:f>
              <c:strCache>
                <c:ptCount val="3"/>
                <c:pt idx="0">
                  <c:v>Ingreso</c:v>
                </c:pt>
                <c:pt idx="1">
                  <c:v>Gasto</c:v>
                </c:pt>
                <c:pt idx="2">
                  <c:v>Ganancia</c:v>
                </c:pt>
              </c:strCache>
            </c:strRef>
          </c:cat>
          <c:val>
            <c:numRef>
              <c:f>Noviembre_25!$G$53:$I$53</c:f>
              <c:numCache>
                <c:formatCode>#,##0"$"</c:formatCode>
                <c:ptCount val="3"/>
                <c:pt idx="0">
                  <c:v>17439857</c:v>
                </c:pt>
                <c:pt idx="1">
                  <c:v>9247295</c:v>
                </c:pt>
                <c:pt idx="2">
                  <c:v>8192562</c:v>
                </c:pt>
              </c:numCache>
            </c:numRef>
          </c:val>
          <c:extLst>
            <c:ext xmlns:c16="http://schemas.microsoft.com/office/drawing/2014/chart" uri="{C3380CC4-5D6E-409C-BE32-E72D297353CC}">
              <c16:uniqueId val="{00000006-A31A-474C-AED4-26786E8439A6}"/>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AR" sz="2400" b="1">
                <a:solidFill>
                  <a:sysClr val="windowText" lastClr="000000"/>
                </a:solidFill>
              </a:rPr>
              <a:t>Balance Diario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barChart>
        <c:barDir val="col"/>
        <c:grouping val="clustered"/>
        <c:varyColors val="0"/>
        <c:ser>
          <c:idx val="0"/>
          <c:order val="0"/>
          <c:tx>
            <c:v>Ingresos</c:v>
          </c:tx>
          <c:spPr>
            <a:solidFill>
              <a:srgbClr val="00B050"/>
            </a:solidFill>
            <a:ln>
              <a:noFill/>
            </a:ln>
            <a:effectLst/>
          </c:spPr>
          <c:invertIfNegative val="0"/>
          <c:cat>
            <c:numRef>
              <c:f>Noviembre_25!$B$3:$B$50</c:f>
              <c:numCache>
                <c:formatCode>m/d/yyyy</c:formatCode>
                <c:ptCount val="48"/>
                <c:pt idx="0">
                  <c:v>45962</c:v>
                </c:pt>
                <c:pt idx="2">
                  <c:v>45964</c:v>
                </c:pt>
                <c:pt idx="4">
                  <c:v>45965</c:v>
                </c:pt>
                <c:pt idx="6">
                  <c:v>45966</c:v>
                </c:pt>
                <c:pt idx="8">
                  <c:v>45967</c:v>
                </c:pt>
                <c:pt idx="10">
                  <c:v>45968</c:v>
                </c:pt>
                <c:pt idx="12">
                  <c:v>45969</c:v>
                </c:pt>
                <c:pt idx="14">
                  <c:v>45971</c:v>
                </c:pt>
                <c:pt idx="16">
                  <c:v>45972</c:v>
                </c:pt>
                <c:pt idx="18">
                  <c:v>45973</c:v>
                </c:pt>
                <c:pt idx="20">
                  <c:v>45974</c:v>
                </c:pt>
                <c:pt idx="22">
                  <c:v>45975</c:v>
                </c:pt>
                <c:pt idx="24">
                  <c:v>45976</c:v>
                </c:pt>
                <c:pt idx="26">
                  <c:v>45978</c:v>
                </c:pt>
                <c:pt idx="28">
                  <c:v>45979</c:v>
                </c:pt>
                <c:pt idx="30">
                  <c:v>45980</c:v>
                </c:pt>
                <c:pt idx="32">
                  <c:v>45981</c:v>
                </c:pt>
                <c:pt idx="34">
                  <c:v>45982</c:v>
                </c:pt>
                <c:pt idx="36">
                  <c:v>45983</c:v>
                </c:pt>
                <c:pt idx="38">
                  <c:v>45985</c:v>
                </c:pt>
                <c:pt idx="40">
                  <c:v>45986</c:v>
                </c:pt>
                <c:pt idx="42">
                  <c:v>45987</c:v>
                </c:pt>
                <c:pt idx="44">
                  <c:v>45988</c:v>
                </c:pt>
                <c:pt idx="46">
                  <c:v>45989</c:v>
                </c:pt>
              </c:numCache>
            </c:numRef>
          </c:cat>
          <c:val>
            <c:numRef>
              <c:f>Noviembre_25!$G$3:$G$50</c:f>
              <c:numCache>
                <c:formatCode>#,##0"$"</c:formatCode>
                <c:ptCount val="48"/>
                <c:pt idx="0">
                  <c:v>774525</c:v>
                </c:pt>
                <c:pt idx="2">
                  <c:v>641741</c:v>
                </c:pt>
                <c:pt idx="4">
                  <c:v>871601</c:v>
                </c:pt>
                <c:pt idx="6">
                  <c:v>889655</c:v>
                </c:pt>
                <c:pt idx="8">
                  <c:v>1116345</c:v>
                </c:pt>
                <c:pt idx="10">
                  <c:v>1362680</c:v>
                </c:pt>
                <c:pt idx="12">
                  <c:v>689943</c:v>
                </c:pt>
                <c:pt idx="14">
                  <c:v>646259</c:v>
                </c:pt>
                <c:pt idx="16">
                  <c:v>805321</c:v>
                </c:pt>
                <c:pt idx="18">
                  <c:v>812449</c:v>
                </c:pt>
                <c:pt idx="20">
                  <c:v>650149</c:v>
                </c:pt>
                <c:pt idx="22">
                  <c:v>761277</c:v>
                </c:pt>
                <c:pt idx="24">
                  <c:v>573219</c:v>
                </c:pt>
                <c:pt idx="26">
                  <c:v>722559</c:v>
                </c:pt>
                <c:pt idx="28">
                  <c:v>750866</c:v>
                </c:pt>
                <c:pt idx="30">
                  <c:v>501034</c:v>
                </c:pt>
                <c:pt idx="32">
                  <c:v>718820</c:v>
                </c:pt>
                <c:pt idx="34">
                  <c:v>420487</c:v>
                </c:pt>
                <c:pt idx="36">
                  <c:v>400201</c:v>
                </c:pt>
                <c:pt idx="38">
                  <c:v>197700</c:v>
                </c:pt>
                <c:pt idx="40">
                  <c:v>503577</c:v>
                </c:pt>
                <c:pt idx="42">
                  <c:v>486699</c:v>
                </c:pt>
                <c:pt idx="44">
                  <c:v>723665</c:v>
                </c:pt>
                <c:pt idx="46">
                  <c:v>803001</c:v>
                </c:pt>
              </c:numCache>
            </c:numRef>
          </c:val>
          <c:extLst>
            <c:ext xmlns:c16="http://schemas.microsoft.com/office/drawing/2014/chart" uri="{C3380CC4-5D6E-409C-BE32-E72D297353CC}">
              <c16:uniqueId val="{00000000-61A5-46BE-B9A0-C5F97CC4B5B2}"/>
            </c:ext>
          </c:extLst>
        </c:ser>
        <c:ser>
          <c:idx val="1"/>
          <c:order val="1"/>
          <c:tx>
            <c:v>Gastos</c:v>
          </c:tx>
          <c:spPr>
            <a:solidFill>
              <a:srgbClr val="FF0000"/>
            </a:solidFill>
            <a:ln>
              <a:noFill/>
            </a:ln>
            <a:effectLst/>
          </c:spPr>
          <c:invertIfNegative val="0"/>
          <c:cat>
            <c:numRef>
              <c:f>Noviembre_25!$B$3:$B$50</c:f>
              <c:numCache>
                <c:formatCode>m/d/yyyy</c:formatCode>
                <c:ptCount val="48"/>
                <c:pt idx="0">
                  <c:v>45962</c:v>
                </c:pt>
                <c:pt idx="2">
                  <c:v>45964</c:v>
                </c:pt>
                <c:pt idx="4">
                  <c:v>45965</c:v>
                </c:pt>
                <c:pt idx="6">
                  <c:v>45966</c:v>
                </c:pt>
                <c:pt idx="8">
                  <c:v>45967</c:v>
                </c:pt>
                <c:pt idx="10">
                  <c:v>45968</c:v>
                </c:pt>
                <c:pt idx="12">
                  <c:v>45969</c:v>
                </c:pt>
                <c:pt idx="14">
                  <c:v>45971</c:v>
                </c:pt>
                <c:pt idx="16">
                  <c:v>45972</c:v>
                </c:pt>
                <c:pt idx="18">
                  <c:v>45973</c:v>
                </c:pt>
                <c:pt idx="20">
                  <c:v>45974</c:v>
                </c:pt>
                <c:pt idx="22">
                  <c:v>45975</c:v>
                </c:pt>
                <c:pt idx="24">
                  <c:v>45976</c:v>
                </c:pt>
                <c:pt idx="26">
                  <c:v>45978</c:v>
                </c:pt>
                <c:pt idx="28">
                  <c:v>45979</c:v>
                </c:pt>
                <c:pt idx="30">
                  <c:v>45980</c:v>
                </c:pt>
                <c:pt idx="32">
                  <c:v>45981</c:v>
                </c:pt>
                <c:pt idx="34">
                  <c:v>45982</c:v>
                </c:pt>
                <c:pt idx="36">
                  <c:v>45983</c:v>
                </c:pt>
                <c:pt idx="38">
                  <c:v>45985</c:v>
                </c:pt>
                <c:pt idx="40">
                  <c:v>45986</c:v>
                </c:pt>
                <c:pt idx="42">
                  <c:v>45987</c:v>
                </c:pt>
                <c:pt idx="44">
                  <c:v>45988</c:v>
                </c:pt>
                <c:pt idx="46">
                  <c:v>45989</c:v>
                </c:pt>
              </c:numCache>
            </c:numRef>
          </c:cat>
          <c:val>
            <c:numRef>
              <c:f>Noviembre_25!$H$3:$H$50</c:f>
              <c:numCache>
                <c:formatCode>#,##0"$"</c:formatCode>
                <c:ptCount val="48"/>
                <c:pt idx="0">
                  <c:v>105000</c:v>
                </c:pt>
                <c:pt idx="2">
                  <c:v>254660</c:v>
                </c:pt>
                <c:pt idx="4">
                  <c:v>402626</c:v>
                </c:pt>
                <c:pt idx="6">
                  <c:v>314078</c:v>
                </c:pt>
                <c:pt idx="8">
                  <c:v>440107</c:v>
                </c:pt>
                <c:pt idx="10">
                  <c:v>1235020</c:v>
                </c:pt>
                <c:pt idx="12">
                  <c:v>506548</c:v>
                </c:pt>
                <c:pt idx="14">
                  <c:v>772754</c:v>
                </c:pt>
                <c:pt idx="16">
                  <c:v>186274</c:v>
                </c:pt>
                <c:pt idx="18">
                  <c:v>516187</c:v>
                </c:pt>
                <c:pt idx="20">
                  <c:v>522321</c:v>
                </c:pt>
                <c:pt idx="22">
                  <c:v>365850</c:v>
                </c:pt>
                <c:pt idx="24">
                  <c:v>115000</c:v>
                </c:pt>
                <c:pt idx="26">
                  <c:v>374819</c:v>
                </c:pt>
                <c:pt idx="28">
                  <c:v>75900</c:v>
                </c:pt>
                <c:pt idx="30">
                  <c:v>287928</c:v>
                </c:pt>
                <c:pt idx="32">
                  <c:v>197635</c:v>
                </c:pt>
                <c:pt idx="34">
                  <c:v>187272</c:v>
                </c:pt>
                <c:pt idx="36">
                  <c:v>860440</c:v>
                </c:pt>
                <c:pt idx="38">
                  <c:v>0</c:v>
                </c:pt>
                <c:pt idx="40">
                  <c:v>466539</c:v>
                </c:pt>
                <c:pt idx="42">
                  <c:v>383495</c:v>
                </c:pt>
                <c:pt idx="44">
                  <c:v>384512</c:v>
                </c:pt>
                <c:pt idx="46">
                  <c:v>250830</c:v>
                </c:pt>
              </c:numCache>
            </c:numRef>
          </c:val>
          <c:extLst>
            <c:ext xmlns:c16="http://schemas.microsoft.com/office/drawing/2014/chart" uri="{C3380CC4-5D6E-409C-BE32-E72D297353CC}">
              <c16:uniqueId val="{00000001-61A5-46BE-B9A0-C5F97CC4B5B2}"/>
            </c:ext>
          </c:extLst>
        </c:ser>
        <c:ser>
          <c:idx val="2"/>
          <c:order val="2"/>
          <c:tx>
            <c:v>Ganancia</c:v>
          </c:tx>
          <c:spPr>
            <a:solidFill>
              <a:srgbClr val="0070C0"/>
            </a:solidFill>
            <a:ln>
              <a:noFill/>
            </a:ln>
            <a:effectLst/>
          </c:spPr>
          <c:invertIfNegative val="0"/>
          <c:cat>
            <c:numRef>
              <c:f>Noviembre_25!$B$3:$B$50</c:f>
              <c:numCache>
                <c:formatCode>m/d/yyyy</c:formatCode>
                <c:ptCount val="48"/>
                <c:pt idx="0">
                  <c:v>45962</c:v>
                </c:pt>
                <c:pt idx="2">
                  <c:v>45964</c:v>
                </c:pt>
                <c:pt idx="4">
                  <c:v>45965</c:v>
                </c:pt>
                <c:pt idx="6">
                  <c:v>45966</c:v>
                </c:pt>
                <c:pt idx="8">
                  <c:v>45967</c:v>
                </c:pt>
                <c:pt idx="10">
                  <c:v>45968</c:v>
                </c:pt>
                <c:pt idx="12">
                  <c:v>45969</c:v>
                </c:pt>
                <c:pt idx="14">
                  <c:v>45971</c:v>
                </c:pt>
                <c:pt idx="16">
                  <c:v>45972</c:v>
                </c:pt>
                <c:pt idx="18">
                  <c:v>45973</c:v>
                </c:pt>
                <c:pt idx="20">
                  <c:v>45974</c:v>
                </c:pt>
                <c:pt idx="22">
                  <c:v>45975</c:v>
                </c:pt>
                <c:pt idx="24">
                  <c:v>45976</c:v>
                </c:pt>
                <c:pt idx="26">
                  <c:v>45978</c:v>
                </c:pt>
                <c:pt idx="28">
                  <c:v>45979</c:v>
                </c:pt>
                <c:pt idx="30">
                  <c:v>45980</c:v>
                </c:pt>
                <c:pt idx="32">
                  <c:v>45981</c:v>
                </c:pt>
                <c:pt idx="34">
                  <c:v>45982</c:v>
                </c:pt>
                <c:pt idx="36">
                  <c:v>45983</c:v>
                </c:pt>
                <c:pt idx="38">
                  <c:v>45985</c:v>
                </c:pt>
                <c:pt idx="40">
                  <c:v>45986</c:v>
                </c:pt>
                <c:pt idx="42">
                  <c:v>45987</c:v>
                </c:pt>
                <c:pt idx="44">
                  <c:v>45988</c:v>
                </c:pt>
                <c:pt idx="46">
                  <c:v>45989</c:v>
                </c:pt>
              </c:numCache>
            </c:numRef>
          </c:cat>
          <c:val>
            <c:numRef>
              <c:f>Noviembre_25!$I$3:$I$50</c:f>
              <c:numCache>
                <c:formatCode>#,##0"$"</c:formatCode>
                <c:ptCount val="48"/>
                <c:pt idx="0">
                  <c:v>669525</c:v>
                </c:pt>
                <c:pt idx="2">
                  <c:v>387081</c:v>
                </c:pt>
                <c:pt idx="4">
                  <c:v>468975</c:v>
                </c:pt>
                <c:pt idx="6">
                  <c:v>575577</c:v>
                </c:pt>
                <c:pt idx="8">
                  <c:v>676238</c:v>
                </c:pt>
                <c:pt idx="10">
                  <c:v>127660</c:v>
                </c:pt>
                <c:pt idx="12">
                  <c:v>183395</c:v>
                </c:pt>
                <c:pt idx="14">
                  <c:v>-126495</c:v>
                </c:pt>
                <c:pt idx="16">
                  <c:v>619047</c:v>
                </c:pt>
                <c:pt idx="18">
                  <c:v>296262</c:v>
                </c:pt>
                <c:pt idx="20">
                  <c:v>127828</c:v>
                </c:pt>
                <c:pt idx="22">
                  <c:v>395427</c:v>
                </c:pt>
                <c:pt idx="24">
                  <c:v>458219</c:v>
                </c:pt>
                <c:pt idx="26">
                  <c:v>347740</c:v>
                </c:pt>
                <c:pt idx="28">
                  <c:v>674966</c:v>
                </c:pt>
                <c:pt idx="30">
                  <c:v>213106</c:v>
                </c:pt>
                <c:pt idx="32">
                  <c:v>521185</c:v>
                </c:pt>
                <c:pt idx="34">
                  <c:v>233215</c:v>
                </c:pt>
                <c:pt idx="36">
                  <c:v>-460239</c:v>
                </c:pt>
                <c:pt idx="38">
                  <c:v>197700</c:v>
                </c:pt>
                <c:pt idx="40">
                  <c:v>37038</c:v>
                </c:pt>
                <c:pt idx="42">
                  <c:v>103204</c:v>
                </c:pt>
                <c:pt idx="44">
                  <c:v>339153</c:v>
                </c:pt>
                <c:pt idx="46">
                  <c:v>552171</c:v>
                </c:pt>
              </c:numCache>
            </c:numRef>
          </c:val>
          <c:extLst>
            <c:ext xmlns:c16="http://schemas.microsoft.com/office/drawing/2014/chart" uri="{C3380CC4-5D6E-409C-BE32-E72D297353CC}">
              <c16:uniqueId val="{00000002-61A5-46BE-B9A0-C5F97CC4B5B2}"/>
            </c:ext>
          </c:extLst>
        </c:ser>
        <c:dLbls>
          <c:showLegendKey val="0"/>
          <c:showVal val="0"/>
          <c:showCatName val="0"/>
          <c:showSerName val="0"/>
          <c:showPercent val="0"/>
          <c:showBubbleSize val="0"/>
        </c:dLbls>
        <c:gapWidth val="219"/>
        <c:overlap val="-27"/>
        <c:axId val="1243510208"/>
        <c:axId val="1243511168"/>
      </c:barChart>
      <c:dateAx>
        <c:axId val="124351020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1168"/>
        <c:crosses val="autoZero"/>
        <c:auto val="1"/>
        <c:lblOffset val="100"/>
        <c:baseTimeUnit val="days"/>
      </c:dateAx>
      <c:valAx>
        <c:axId val="1243511168"/>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Balance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rgbClr val="00B050"/>
                </a:solidFill>
              </a:ln>
              <a:effectLst/>
              <a:sp3d contourW="25400">
                <a:contourClr>
                  <a:srgbClr val="00B050"/>
                </a:contourClr>
              </a:sp3d>
            </c:spPr>
            <c:extLst>
              <c:ext xmlns:c16="http://schemas.microsoft.com/office/drawing/2014/chart" uri="{C3380CC4-5D6E-409C-BE32-E72D297353CC}">
                <c16:uniqueId val="{00000001-E36C-44E1-9D10-0C06542F0AC1}"/>
              </c:ext>
            </c:extLst>
          </c:dPt>
          <c:dPt>
            <c:idx val="1"/>
            <c:bubble3D val="0"/>
            <c:spPr>
              <a:solidFill>
                <a:srgbClr val="FF0000"/>
              </a:solidFill>
              <a:ln w="25400">
                <a:solidFill>
                  <a:srgbClr val="FF0000"/>
                </a:solidFill>
              </a:ln>
              <a:effectLst/>
              <a:sp3d contourW="25400">
                <a:contourClr>
                  <a:srgbClr val="FF0000"/>
                </a:contourClr>
              </a:sp3d>
            </c:spPr>
            <c:extLst>
              <c:ext xmlns:c16="http://schemas.microsoft.com/office/drawing/2014/chart" uri="{C3380CC4-5D6E-409C-BE32-E72D297353CC}">
                <c16:uniqueId val="{00000003-E36C-44E1-9D10-0C06542F0AC1}"/>
              </c:ext>
            </c:extLst>
          </c:dPt>
          <c:dPt>
            <c:idx val="2"/>
            <c:bubble3D val="0"/>
            <c:spPr>
              <a:solidFill>
                <a:srgbClr val="002060"/>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E36C-44E1-9D10-0C06542F0AC1}"/>
              </c:ext>
            </c:extLst>
          </c:dPt>
          <c:dLbls>
            <c:dLbl>
              <c:idx val="0"/>
              <c:layout>
                <c:manualLayout>
                  <c:x val="-0.16608529131442173"/>
                  <c:y val="-8.676338279852727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1A590FDE-2208-45AC-A0CD-F82103C5D123}"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separator>
</c:separator>
              <c:extLst>
                <c:ext xmlns:c15="http://schemas.microsoft.com/office/drawing/2012/chart" uri="{CE6537A1-D6FC-4f65-9D91-7224C49458BB}">
                  <c15:layout>
                    <c:manualLayout>
                      <c:w val="0.29335897806075834"/>
                      <c:h val="0.13422683124725746"/>
                    </c:manualLayout>
                  </c15:layout>
                  <c15:dlblFieldTable/>
                  <c15:showDataLabelsRange val="0"/>
                </c:ext>
                <c:ext xmlns:c16="http://schemas.microsoft.com/office/drawing/2014/chart" uri="{C3380CC4-5D6E-409C-BE32-E72D297353CC}">
                  <c16:uniqueId val="{00000001-E36C-44E1-9D10-0C06542F0AC1}"/>
                </c:ext>
              </c:extLst>
            </c:dLbl>
            <c:dLbl>
              <c:idx val="1"/>
              <c:layout>
                <c:manualLayout>
                  <c:x val="0.19470389012641021"/>
                  <c:y val="-0.18704088624624357"/>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9BD8509C-3F0D-406B-9060-63C8681706DD}" type="VALUE">
                      <a:rPr lang="en-US" sz="1400" b="1">
                        <a:solidFill>
                          <a:schemeClr val="bg1"/>
                        </a:solidFill>
                      </a:rPr>
                      <a:pPr>
                        <a:defRPr sz="1400"/>
                      </a:pPr>
                      <a:t>[VALOR]</a:t>
                    </a:fld>
                    <a:endParaRPr lang="es-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bestFit"/>
              <c:showLegendKey val="0"/>
              <c:showVal val="1"/>
              <c:showCatName val="0"/>
              <c:showSerName val="0"/>
              <c:showPercent val="0"/>
              <c:showBubbleSize val="0"/>
              <c:extLst>
                <c:ext xmlns:c15="http://schemas.microsoft.com/office/drawing/2012/chart" uri="{CE6537A1-D6FC-4f65-9D91-7224C49458BB}">
                  <c15:layout>
                    <c:manualLayout>
                      <c:w val="0.23734615684113361"/>
                      <c:h val="0.12632760245360161"/>
                    </c:manualLayout>
                  </c15:layout>
                  <c15:dlblFieldTable/>
                  <c15:showDataLabelsRange val="0"/>
                </c:ext>
                <c:ext xmlns:c16="http://schemas.microsoft.com/office/drawing/2014/chart" uri="{C3380CC4-5D6E-409C-BE32-E72D297353CC}">
                  <c16:uniqueId val="{00000003-E36C-44E1-9D10-0C06542F0AC1}"/>
                </c:ext>
              </c:extLst>
            </c:dLbl>
            <c:dLbl>
              <c:idx val="2"/>
              <c:layout>
                <c:manualLayout>
                  <c:x val="0.17826721365491346"/>
                  <c:y val="0.12052205744943877"/>
                </c:manualLayout>
              </c:layout>
              <c:tx>
                <c:rich>
                  <a:bodyPr/>
                  <a:lstStyle/>
                  <a:p>
                    <a:fld id="{7A558896-F28C-4764-A257-B88E2E423067}" type="VALUE">
                      <a:rPr lang="en-US" b="1">
                        <a:solidFill>
                          <a:schemeClr val="bg1"/>
                        </a:solidFill>
                      </a:rPr>
                      <a:pPr/>
                      <a:t>[VALOR]</a:t>
                    </a:fld>
                    <a:endParaRPr lang="es-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2319490972592462"/>
                      <c:h val="0.14760840411265086"/>
                    </c:manualLayout>
                  </c15:layout>
                  <c15:dlblFieldTable/>
                  <c15:showDataLabelsRange val="0"/>
                </c:ext>
                <c:ext xmlns:c16="http://schemas.microsoft.com/office/drawing/2014/chart" uri="{C3380CC4-5D6E-409C-BE32-E72D297353CC}">
                  <c16:uniqueId val="{00000005-E36C-44E1-9D10-0C06542F0AC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s>
          <c:cat>
            <c:strRef>
              <c:f>'Diciembre (25)'!$G$2:$I$2</c:f>
              <c:strCache>
                <c:ptCount val="3"/>
                <c:pt idx="0">
                  <c:v>Ingreso</c:v>
                </c:pt>
                <c:pt idx="1">
                  <c:v>Gasto</c:v>
                </c:pt>
                <c:pt idx="2">
                  <c:v>Ganancia</c:v>
                </c:pt>
              </c:strCache>
            </c:strRef>
          </c:cat>
          <c:val>
            <c:numRef>
              <c:f>'Diciembre (25)'!$G$57:$I$57</c:f>
              <c:numCache>
                <c:formatCode>#,##0"$"</c:formatCode>
                <c:ptCount val="3"/>
                <c:pt idx="0">
                  <c:v>15577506</c:v>
                </c:pt>
                <c:pt idx="1">
                  <c:v>9725418</c:v>
                </c:pt>
                <c:pt idx="2">
                  <c:v>5852088</c:v>
                </c:pt>
              </c:numCache>
            </c:numRef>
          </c:val>
          <c:extLst>
            <c:ext xmlns:c16="http://schemas.microsoft.com/office/drawing/2014/chart" uri="{C3380CC4-5D6E-409C-BE32-E72D297353CC}">
              <c16:uniqueId val="{00000006-E36C-44E1-9D10-0C06542F0AC1}"/>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AR" sz="2400" b="1">
                <a:solidFill>
                  <a:sysClr val="windowText" lastClr="000000"/>
                </a:solidFill>
              </a:rPr>
              <a:t>Balance Diario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barChart>
        <c:barDir val="col"/>
        <c:grouping val="clustered"/>
        <c:varyColors val="0"/>
        <c:ser>
          <c:idx val="0"/>
          <c:order val="0"/>
          <c:tx>
            <c:v>Ingresos</c:v>
          </c:tx>
          <c:spPr>
            <a:solidFill>
              <a:srgbClr val="00B050"/>
            </a:solidFill>
            <a:ln>
              <a:noFill/>
            </a:ln>
            <a:effectLst/>
          </c:spPr>
          <c:invertIfNegative val="0"/>
          <c:cat>
            <c:numRef>
              <c:f>'Diciembre (25)'!$B$3:$B$48</c:f>
              <c:numCache>
                <c:formatCode>m/d/yyyy</c:formatCode>
                <c:ptCount val="46"/>
                <c:pt idx="0">
                  <c:v>45992</c:v>
                </c:pt>
                <c:pt idx="2">
                  <c:v>45993</c:v>
                </c:pt>
                <c:pt idx="4">
                  <c:v>45994</c:v>
                </c:pt>
                <c:pt idx="6">
                  <c:v>45995</c:v>
                </c:pt>
                <c:pt idx="8">
                  <c:v>45996</c:v>
                </c:pt>
                <c:pt idx="10">
                  <c:v>45997</c:v>
                </c:pt>
                <c:pt idx="12">
                  <c:v>45999</c:v>
                </c:pt>
                <c:pt idx="14">
                  <c:v>46000</c:v>
                </c:pt>
                <c:pt idx="16">
                  <c:v>46001</c:v>
                </c:pt>
                <c:pt idx="18">
                  <c:v>46002</c:v>
                </c:pt>
                <c:pt idx="20">
                  <c:v>46003</c:v>
                </c:pt>
                <c:pt idx="22">
                  <c:v>46004</c:v>
                </c:pt>
                <c:pt idx="24">
                  <c:v>46006</c:v>
                </c:pt>
                <c:pt idx="26">
                  <c:v>46007</c:v>
                </c:pt>
                <c:pt idx="28">
                  <c:v>46008</c:v>
                </c:pt>
                <c:pt idx="30">
                  <c:v>46009</c:v>
                </c:pt>
                <c:pt idx="32">
                  <c:v>46010</c:v>
                </c:pt>
                <c:pt idx="34">
                  <c:v>46011</c:v>
                </c:pt>
                <c:pt idx="36">
                  <c:v>46013</c:v>
                </c:pt>
                <c:pt idx="38">
                  <c:v>46014</c:v>
                </c:pt>
                <c:pt idx="40">
                  <c:v>46015</c:v>
                </c:pt>
                <c:pt idx="42">
                  <c:v>46016</c:v>
                </c:pt>
                <c:pt idx="44">
                  <c:v>46017</c:v>
                </c:pt>
              </c:numCache>
            </c:numRef>
          </c:cat>
          <c:val>
            <c:numRef>
              <c:f>'Diciembre (25)'!$G$3:$G$48</c:f>
              <c:numCache>
                <c:formatCode>#,##0"$"</c:formatCode>
                <c:ptCount val="46"/>
                <c:pt idx="0">
                  <c:v>716210</c:v>
                </c:pt>
                <c:pt idx="2">
                  <c:v>804382</c:v>
                </c:pt>
                <c:pt idx="4">
                  <c:v>658202</c:v>
                </c:pt>
                <c:pt idx="6">
                  <c:v>616721</c:v>
                </c:pt>
                <c:pt idx="8">
                  <c:v>712820</c:v>
                </c:pt>
                <c:pt idx="10">
                  <c:v>1150094</c:v>
                </c:pt>
                <c:pt idx="12">
                  <c:v>300707</c:v>
                </c:pt>
                <c:pt idx="14">
                  <c:v>540317</c:v>
                </c:pt>
                <c:pt idx="16">
                  <c:v>593017</c:v>
                </c:pt>
                <c:pt idx="18">
                  <c:v>776352</c:v>
                </c:pt>
                <c:pt idx="20">
                  <c:v>610898</c:v>
                </c:pt>
                <c:pt idx="22">
                  <c:v>525557</c:v>
                </c:pt>
                <c:pt idx="24">
                  <c:v>671243</c:v>
                </c:pt>
                <c:pt idx="26">
                  <c:v>691549</c:v>
                </c:pt>
                <c:pt idx="28">
                  <c:v>596438</c:v>
                </c:pt>
                <c:pt idx="30">
                  <c:v>653759</c:v>
                </c:pt>
                <c:pt idx="32">
                  <c:v>595493</c:v>
                </c:pt>
                <c:pt idx="34">
                  <c:v>388578</c:v>
                </c:pt>
                <c:pt idx="36">
                  <c:v>562339</c:v>
                </c:pt>
                <c:pt idx="38">
                  <c:v>622570</c:v>
                </c:pt>
                <c:pt idx="40">
                  <c:v>284045</c:v>
                </c:pt>
                <c:pt idx="42">
                  <c:v>0</c:v>
                </c:pt>
                <c:pt idx="44">
                  <c:v>421708</c:v>
                </c:pt>
              </c:numCache>
            </c:numRef>
          </c:val>
          <c:extLst>
            <c:ext xmlns:c16="http://schemas.microsoft.com/office/drawing/2014/chart" uri="{C3380CC4-5D6E-409C-BE32-E72D297353CC}">
              <c16:uniqueId val="{00000000-BCD7-4F86-82B6-E209245CD384}"/>
            </c:ext>
          </c:extLst>
        </c:ser>
        <c:ser>
          <c:idx val="1"/>
          <c:order val="1"/>
          <c:tx>
            <c:v>Gastos</c:v>
          </c:tx>
          <c:spPr>
            <a:solidFill>
              <a:srgbClr val="FF0000"/>
            </a:solidFill>
            <a:ln>
              <a:noFill/>
            </a:ln>
            <a:effectLst/>
          </c:spPr>
          <c:invertIfNegative val="0"/>
          <c:cat>
            <c:numRef>
              <c:f>'Diciembre (25)'!$B$3:$B$48</c:f>
              <c:numCache>
                <c:formatCode>m/d/yyyy</c:formatCode>
                <c:ptCount val="46"/>
                <c:pt idx="0">
                  <c:v>45992</c:v>
                </c:pt>
                <c:pt idx="2">
                  <c:v>45993</c:v>
                </c:pt>
                <c:pt idx="4">
                  <c:v>45994</c:v>
                </c:pt>
                <c:pt idx="6">
                  <c:v>45995</c:v>
                </c:pt>
                <c:pt idx="8">
                  <c:v>45996</c:v>
                </c:pt>
                <c:pt idx="10">
                  <c:v>45997</c:v>
                </c:pt>
                <c:pt idx="12">
                  <c:v>45999</c:v>
                </c:pt>
                <c:pt idx="14">
                  <c:v>46000</c:v>
                </c:pt>
                <c:pt idx="16">
                  <c:v>46001</c:v>
                </c:pt>
                <c:pt idx="18">
                  <c:v>46002</c:v>
                </c:pt>
                <c:pt idx="20">
                  <c:v>46003</c:v>
                </c:pt>
                <c:pt idx="22">
                  <c:v>46004</c:v>
                </c:pt>
                <c:pt idx="24">
                  <c:v>46006</c:v>
                </c:pt>
                <c:pt idx="26">
                  <c:v>46007</c:v>
                </c:pt>
                <c:pt idx="28">
                  <c:v>46008</c:v>
                </c:pt>
                <c:pt idx="30">
                  <c:v>46009</c:v>
                </c:pt>
                <c:pt idx="32">
                  <c:v>46010</c:v>
                </c:pt>
                <c:pt idx="34">
                  <c:v>46011</c:v>
                </c:pt>
                <c:pt idx="36">
                  <c:v>46013</c:v>
                </c:pt>
                <c:pt idx="38">
                  <c:v>46014</c:v>
                </c:pt>
                <c:pt idx="40">
                  <c:v>46015</c:v>
                </c:pt>
                <c:pt idx="42">
                  <c:v>46016</c:v>
                </c:pt>
                <c:pt idx="44">
                  <c:v>46017</c:v>
                </c:pt>
              </c:numCache>
            </c:numRef>
          </c:cat>
          <c:val>
            <c:numRef>
              <c:f>'Diciembre (25)'!$H$3:$H$48</c:f>
              <c:numCache>
                <c:formatCode>#,##0"$"</c:formatCode>
                <c:ptCount val="46"/>
                <c:pt idx="0">
                  <c:v>256563</c:v>
                </c:pt>
                <c:pt idx="2">
                  <c:v>559822</c:v>
                </c:pt>
                <c:pt idx="4">
                  <c:v>134815</c:v>
                </c:pt>
                <c:pt idx="6">
                  <c:v>704929</c:v>
                </c:pt>
                <c:pt idx="8">
                  <c:v>1103849</c:v>
                </c:pt>
                <c:pt idx="10">
                  <c:v>1030953</c:v>
                </c:pt>
                <c:pt idx="12">
                  <c:v>0</c:v>
                </c:pt>
                <c:pt idx="14">
                  <c:v>45580</c:v>
                </c:pt>
                <c:pt idx="16">
                  <c:v>366398</c:v>
                </c:pt>
                <c:pt idx="18">
                  <c:v>1488862</c:v>
                </c:pt>
                <c:pt idx="20">
                  <c:v>533834</c:v>
                </c:pt>
                <c:pt idx="22">
                  <c:v>75000</c:v>
                </c:pt>
                <c:pt idx="24">
                  <c:v>332538</c:v>
                </c:pt>
                <c:pt idx="26">
                  <c:v>488839</c:v>
                </c:pt>
                <c:pt idx="28">
                  <c:v>415338</c:v>
                </c:pt>
                <c:pt idx="30">
                  <c:v>330998</c:v>
                </c:pt>
                <c:pt idx="32">
                  <c:v>321525</c:v>
                </c:pt>
                <c:pt idx="34">
                  <c:v>0</c:v>
                </c:pt>
                <c:pt idx="36">
                  <c:v>472446</c:v>
                </c:pt>
                <c:pt idx="38">
                  <c:v>282600</c:v>
                </c:pt>
                <c:pt idx="40">
                  <c:v>97680</c:v>
                </c:pt>
                <c:pt idx="42">
                  <c:v>0</c:v>
                </c:pt>
                <c:pt idx="44">
                  <c:v>50000</c:v>
                </c:pt>
              </c:numCache>
            </c:numRef>
          </c:val>
          <c:extLst>
            <c:ext xmlns:c16="http://schemas.microsoft.com/office/drawing/2014/chart" uri="{C3380CC4-5D6E-409C-BE32-E72D297353CC}">
              <c16:uniqueId val="{00000001-BCD7-4F86-82B6-E209245CD384}"/>
            </c:ext>
          </c:extLst>
        </c:ser>
        <c:ser>
          <c:idx val="2"/>
          <c:order val="2"/>
          <c:tx>
            <c:v>Ganancia</c:v>
          </c:tx>
          <c:spPr>
            <a:solidFill>
              <a:srgbClr val="0070C0"/>
            </a:solidFill>
            <a:ln>
              <a:noFill/>
            </a:ln>
            <a:effectLst/>
          </c:spPr>
          <c:invertIfNegative val="0"/>
          <c:cat>
            <c:numRef>
              <c:f>'Diciembre (25)'!$B$3:$B$48</c:f>
              <c:numCache>
                <c:formatCode>m/d/yyyy</c:formatCode>
                <c:ptCount val="46"/>
                <c:pt idx="0">
                  <c:v>45992</c:v>
                </c:pt>
                <c:pt idx="2">
                  <c:v>45993</c:v>
                </c:pt>
                <c:pt idx="4">
                  <c:v>45994</c:v>
                </c:pt>
                <c:pt idx="6">
                  <c:v>45995</c:v>
                </c:pt>
                <c:pt idx="8">
                  <c:v>45996</c:v>
                </c:pt>
                <c:pt idx="10">
                  <c:v>45997</c:v>
                </c:pt>
                <c:pt idx="12">
                  <c:v>45999</c:v>
                </c:pt>
                <c:pt idx="14">
                  <c:v>46000</c:v>
                </c:pt>
                <c:pt idx="16">
                  <c:v>46001</c:v>
                </c:pt>
                <c:pt idx="18">
                  <c:v>46002</c:v>
                </c:pt>
                <c:pt idx="20">
                  <c:v>46003</c:v>
                </c:pt>
                <c:pt idx="22">
                  <c:v>46004</c:v>
                </c:pt>
                <c:pt idx="24">
                  <c:v>46006</c:v>
                </c:pt>
                <c:pt idx="26">
                  <c:v>46007</c:v>
                </c:pt>
                <c:pt idx="28">
                  <c:v>46008</c:v>
                </c:pt>
                <c:pt idx="30">
                  <c:v>46009</c:v>
                </c:pt>
                <c:pt idx="32">
                  <c:v>46010</c:v>
                </c:pt>
                <c:pt idx="34">
                  <c:v>46011</c:v>
                </c:pt>
                <c:pt idx="36">
                  <c:v>46013</c:v>
                </c:pt>
                <c:pt idx="38">
                  <c:v>46014</c:v>
                </c:pt>
                <c:pt idx="40">
                  <c:v>46015</c:v>
                </c:pt>
                <c:pt idx="42">
                  <c:v>46016</c:v>
                </c:pt>
                <c:pt idx="44">
                  <c:v>46017</c:v>
                </c:pt>
              </c:numCache>
            </c:numRef>
          </c:cat>
          <c:val>
            <c:numRef>
              <c:f>'Diciembre (25)'!$I$3:$I$48</c:f>
              <c:numCache>
                <c:formatCode>#,##0"$"</c:formatCode>
                <c:ptCount val="46"/>
                <c:pt idx="0">
                  <c:v>459647</c:v>
                </c:pt>
                <c:pt idx="2">
                  <c:v>244560</c:v>
                </c:pt>
                <c:pt idx="4">
                  <c:v>523387</c:v>
                </c:pt>
                <c:pt idx="6">
                  <c:v>-88208</c:v>
                </c:pt>
                <c:pt idx="8">
                  <c:v>-391029</c:v>
                </c:pt>
                <c:pt idx="10">
                  <c:v>119141</c:v>
                </c:pt>
                <c:pt idx="12">
                  <c:v>300707</c:v>
                </c:pt>
                <c:pt idx="14">
                  <c:v>494737</c:v>
                </c:pt>
                <c:pt idx="16">
                  <c:v>226619</c:v>
                </c:pt>
                <c:pt idx="18">
                  <c:v>-712510</c:v>
                </c:pt>
                <c:pt idx="20">
                  <c:v>77064</c:v>
                </c:pt>
                <c:pt idx="22">
                  <c:v>450557</c:v>
                </c:pt>
                <c:pt idx="24">
                  <c:v>338705</c:v>
                </c:pt>
                <c:pt idx="26">
                  <c:v>202710</c:v>
                </c:pt>
                <c:pt idx="28">
                  <c:v>181100</c:v>
                </c:pt>
                <c:pt idx="30">
                  <c:v>322761</c:v>
                </c:pt>
                <c:pt idx="32">
                  <c:v>273968</c:v>
                </c:pt>
                <c:pt idx="34">
                  <c:v>388578</c:v>
                </c:pt>
                <c:pt idx="36">
                  <c:v>89893</c:v>
                </c:pt>
                <c:pt idx="38">
                  <c:v>339970</c:v>
                </c:pt>
                <c:pt idx="40">
                  <c:v>186365</c:v>
                </c:pt>
                <c:pt idx="42">
                  <c:v>0</c:v>
                </c:pt>
                <c:pt idx="44">
                  <c:v>371708</c:v>
                </c:pt>
              </c:numCache>
            </c:numRef>
          </c:val>
          <c:extLst>
            <c:ext xmlns:c16="http://schemas.microsoft.com/office/drawing/2014/chart" uri="{C3380CC4-5D6E-409C-BE32-E72D297353CC}">
              <c16:uniqueId val="{00000002-BCD7-4F86-82B6-E209245CD384}"/>
            </c:ext>
          </c:extLst>
        </c:ser>
        <c:dLbls>
          <c:showLegendKey val="0"/>
          <c:showVal val="0"/>
          <c:showCatName val="0"/>
          <c:showSerName val="0"/>
          <c:showPercent val="0"/>
          <c:showBubbleSize val="0"/>
        </c:dLbls>
        <c:gapWidth val="219"/>
        <c:overlap val="-27"/>
        <c:axId val="1243510208"/>
        <c:axId val="1243511168"/>
      </c:barChart>
      <c:dateAx>
        <c:axId val="124351020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1168"/>
        <c:crosses val="autoZero"/>
        <c:auto val="1"/>
        <c:lblOffset val="100"/>
        <c:baseTimeUnit val="days"/>
      </c:dateAx>
      <c:valAx>
        <c:axId val="1243511168"/>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435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b="1"/>
              <a:t>Análisis</a:t>
            </a:r>
            <a:r>
              <a:rPr lang="es-AR" b="1" baseline="0"/>
              <a:t> Mensual</a:t>
            </a:r>
            <a:endParaRPr lang="es-A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manualLayout>
          <c:layoutTarget val="inner"/>
          <c:xMode val="edge"/>
          <c:yMode val="edge"/>
          <c:x val="0.17653743663721425"/>
          <c:y val="0.16994272623138604"/>
          <c:w val="0.81837350483861271"/>
          <c:h val="0.6189535586402215"/>
        </c:manualLayout>
      </c:layout>
      <c:barChart>
        <c:barDir val="col"/>
        <c:grouping val="clustered"/>
        <c:varyColors val="0"/>
        <c:ser>
          <c:idx val="0"/>
          <c:order val="0"/>
          <c:tx>
            <c:strRef>
              <c:f>Cash_2024!$A$2</c:f>
              <c:strCache>
                <c:ptCount val="1"/>
                <c:pt idx="0">
                  <c:v>Ingreso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Cash_2024!$B$1:$F$1</c:f>
              <c:strCache>
                <c:ptCount val="5"/>
                <c:pt idx="0">
                  <c:v>Agosto</c:v>
                </c:pt>
                <c:pt idx="1">
                  <c:v>Septiembre</c:v>
                </c:pt>
                <c:pt idx="2">
                  <c:v>Octubre</c:v>
                </c:pt>
                <c:pt idx="3">
                  <c:v>Noviembre</c:v>
                </c:pt>
                <c:pt idx="4">
                  <c:v>Diciembre</c:v>
                </c:pt>
              </c:strCache>
            </c:strRef>
          </c:cat>
          <c:val>
            <c:numRef>
              <c:f>Cash_2024!$B$2:$F$2</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DDF9-409C-8CD8-AAFEBFAF1560}"/>
            </c:ext>
          </c:extLst>
        </c:ser>
        <c:ser>
          <c:idx val="1"/>
          <c:order val="1"/>
          <c:tx>
            <c:strRef>
              <c:f>Cash_2024!$A$3</c:f>
              <c:strCache>
                <c:ptCount val="1"/>
                <c:pt idx="0">
                  <c:v>Gasto</c:v>
                </c:pt>
              </c:strCache>
            </c:strRef>
          </c:tx>
          <c:spPr>
            <a:solidFill>
              <a:srgbClr val="FF0000"/>
            </a:solidFill>
            <a:ln>
              <a:noFill/>
            </a:ln>
            <a:effectLst/>
          </c:spPr>
          <c:invertIfNegative val="0"/>
          <c:dLbls>
            <c:dLbl>
              <c:idx val="0"/>
              <c:layout>
                <c:manualLayout>
                  <c:x val="3.31674958540630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F9-409C-8CD8-AAFEBFAF1560}"/>
                </c:ext>
              </c:extLst>
            </c:dLbl>
            <c:dLbl>
              <c:idx val="1"/>
              <c:layout>
                <c:manualLayout>
                  <c:x val="3.53786622443338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F9-409C-8CD8-AAFEBFAF15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Cash_2024!$B$1:$F$1</c:f>
              <c:strCache>
                <c:ptCount val="5"/>
                <c:pt idx="0">
                  <c:v>Agosto</c:v>
                </c:pt>
                <c:pt idx="1">
                  <c:v>Septiembre</c:v>
                </c:pt>
                <c:pt idx="2">
                  <c:v>Octubre</c:v>
                </c:pt>
                <c:pt idx="3">
                  <c:v>Noviembre</c:v>
                </c:pt>
                <c:pt idx="4">
                  <c:v>Diciembre</c:v>
                </c:pt>
              </c:strCache>
            </c:strRef>
          </c:cat>
          <c:val>
            <c:numRef>
              <c:f>Cash_2024!$B$3:$F$3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DDF9-409C-8CD8-AAFEBFAF1560}"/>
            </c:ext>
          </c:extLst>
        </c:ser>
        <c:ser>
          <c:idx val="2"/>
          <c:order val="2"/>
          <c:tx>
            <c:strRef>
              <c:f>Cash_2024!$A$4</c:f>
              <c:strCache>
                <c:ptCount val="1"/>
                <c:pt idx="0">
                  <c:v>Ganancia</c:v>
                </c:pt>
              </c:strCache>
            </c:strRef>
          </c:tx>
          <c:spPr>
            <a:solidFill>
              <a:srgbClr val="002060"/>
            </a:solidFill>
            <a:ln>
              <a:noFill/>
            </a:ln>
            <a:effectLst/>
          </c:spPr>
          <c:invertIfNegative val="0"/>
          <c:dLbls>
            <c:dLbl>
              <c:idx val="0"/>
              <c:layout>
                <c:manualLayout>
                  <c:x val="2.653399668325041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F9-409C-8CD8-AAFEBFAF1560}"/>
                </c:ext>
              </c:extLst>
            </c:dLbl>
            <c:dLbl>
              <c:idx val="1"/>
              <c:layout>
                <c:manualLayout>
                  <c:x val="3.095632946379215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F9-409C-8CD8-AAFEBFAF15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Cash_2024!$B$1:$F$1</c:f>
              <c:strCache>
                <c:ptCount val="5"/>
                <c:pt idx="0">
                  <c:v>Agosto</c:v>
                </c:pt>
                <c:pt idx="1">
                  <c:v>Septiembre</c:v>
                </c:pt>
                <c:pt idx="2">
                  <c:v>Octubre</c:v>
                </c:pt>
                <c:pt idx="3">
                  <c:v>Noviembre</c:v>
                </c:pt>
                <c:pt idx="4">
                  <c:v>Diciembre</c:v>
                </c:pt>
              </c:strCache>
            </c:strRef>
          </c:cat>
          <c:val>
            <c:numRef>
              <c:f>Cash_2024!$B$4:$F$4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2-DDF9-409C-8CD8-AAFEBFAF1560}"/>
            </c:ext>
          </c:extLst>
        </c:ser>
        <c:dLbls>
          <c:showLegendKey val="0"/>
          <c:showVal val="0"/>
          <c:showCatName val="0"/>
          <c:showSerName val="0"/>
          <c:showPercent val="0"/>
          <c:showBubbleSize val="0"/>
        </c:dLbls>
        <c:gapWidth val="219"/>
        <c:overlap val="-27"/>
        <c:axId val="2089967807"/>
        <c:axId val="2089971135"/>
      </c:barChart>
      <c:catAx>
        <c:axId val="208996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89971135"/>
        <c:crosses val="autoZero"/>
        <c:auto val="1"/>
        <c:lblAlgn val="ctr"/>
        <c:lblOffset val="100"/>
        <c:noMultiLvlLbl val="0"/>
      </c:catAx>
      <c:valAx>
        <c:axId val="2089971135"/>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89967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b="1"/>
              <a:t>Ingreso</a:t>
            </a:r>
            <a:r>
              <a:rPr lang="es-AR" b="1" baseline="0"/>
              <a:t> vs Ganancia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Cash_2024!$K$1</c:f>
              <c:strCache>
                <c:ptCount val="1"/>
                <c:pt idx="0">
                  <c:v>Ingreso</c:v>
                </c:pt>
              </c:strCache>
            </c:strRef>
          </c:tx>
          <c:spPr>
            <a:solidFill>
              <a:srgbClr val="92D050"/>
            </a:solidFill>
            <a:ln>
              <a:noFill/>
            </a:ln>
            <a:effectLst/>
            <a:sp3d/>
          </c:spPr>
          <c:invertIfNegative val="0"/>
          <c:dLbls>
            <c:dLbl>
              <c:idx val="0"/>
              <c:layout>
                <c:manualLayout>
                  <c:x val="-1.874633860574108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5C-40CD-A634-D00871474367}"/>
                </c:ext>
              </c:extLst>
            </c:dLbl>
            <c:dLbl>
              <c:idx val="1"/>
              <c:layout>
                <c:manualLayout>
                  <c:x val="-1.8746338605741066E-2"/>
                  <c:y val="-8.85657708882417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5C-40CD-A634-D008714743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Cash_2024!$J$2:$J$6</c:f>
              <c:strCache>
                <c:ptCount val="5"/>
                <c:pt idx="0">
                  <c:v>Agosto</c:v>
                </c:pt>
                <c:pt idx="1">
                  <c:v>Septiembre</c:v>
                </c:pt>
                <c:pt idx="2">
                  <c:v>Octubre</c:v>
                </c:pt>
                <c:pt idx="3">
                  <c:v>Noviembre</c:v>
                </c:pt>
                <c:pt idx="4">
                  <c:v>Diciembre</c:v>
                </c:pt>
              </c:strCache>
            </c:strRef>
          </c:cat>
          <c:val>
            <c:numRef>
              <c:f>Cash_2024!$K$2:$K$6</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275C-40CD-A634-D00871474367}"/>
            </c:ext>
          </c:extLst>
        </c:ser>
        <c:ser>
          <c:idx val="1"/>
          <c:order val="1"/>
          <c:tx>
            <c:strRef>
              <c:f>Cash_2024!$L$1</c:f>
              <c:strCache>
                <c:ptCount val="1"/>
                <c:pt idx="0">
                  <c:v>Ganancia</c:v>
                </c:pt>
              </c:strCache>
            </c:strRef>
          </c:tx>
          <c:spPr>
            <a:solidFill>
              <a:schemeClr val="accent5">
                <a:lumMod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Cash_2024!$J$2:$J$6</c:f>
              <c:strCache>
                <c:ptCount val="5"/>
                <c:pt idx="0">
                  <c:v>Agosto</c:v>
                </c:pt>
                <c:pt idx="1">
                  <c:v>Septiembre</c:v>
                </c:pt>
                <c:pt idx="2">
                  <c:v>Octubre</c:v>
                </c:pt>
                <c:pt idx="3">
                  <c:v>Noviembre</c:v>
                </c:pt>
                <c:pt idx="4">
                  <c:v>Diciembre</c:v>
                </c:pt>
              </c:strCache>
            </c:strRef>
          </c:cat>
          <c:val>
            <c:numRef>
              <c:f>Cash_2024!$L$2:$L$6</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275C-40CD-A634-D00871474367}"/>
            </c:ext>
          </c:extLst>
        </c:ser>
        <c:dLbls>
          <c:showLegendKey val="0"/>
          <c:showVal val="0"/>
          <c:showCatName val="0"/>
          <c:showSerName val="0"/>
          <c:showPercent val="0"/>
          <c:showBubbleSize val="0"/>
        </c:dLbls>
        <c:gapWidth val="150"/>
        <c:shape val="box"/>
        <c:axId val="1982991423"/>
        <c:axId val="1982992671"/>
        <c:axId val="0"/>
      </c:bar3DChart>
      <c:catAx>
        <c:axId val="198299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2992671"/>
        <c:crosses val="autoZero"/>
        <c:auto val="1"/>
        <c:lblAlgn val="ctr"/>
        <c:lblOffset val="100"/>
        <c:noMultiLvlLbl val="0"/>
      </c:catAx>
      <c:valAx>
        <c:axId val="1982992671"/>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2991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11</xdr:col>
      <xdr:colOff>173692</xdr:colOff>
      <xdr:row>2</xdr:row>
      <xdr:rowOff>80120</xdr:rowOff>
    </xdr:from>
    <xdr:to>
      <xdr:col>21</xdr:col>
      <xdr:colOff>350184</xdr:colOff>
      <xdr:row>21</xdr:row>
      <xdr:rowOff>156883</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248770</xdr:colOff>
      <xdr:row>24</xdr:row>
      <xdr:rowOff>87126</xdr:rowOff>
    </xdr:from>
    <xdr:to>
      <xdr:col>17</xdr:col>
      <xdr:colOff>282388</xdr:colOff>
      <xdr:row>40</xdr:row>
      <xdr:rowOff>187418</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173692</xdr:colOff>
      <xdr:row>2</xdr:row>
      <xdr:rowOff>0</xdr:rowOff>
    </xdr:from>
    <xdr:to>
      <xdr:col>21</xdr:col>
      <xdr:colOff>350184</xdr:colOff>
      <xdr:row>15</xdr:row>
      <xdr:rowOff>156883</xdr:rowOff>
    </xdr:to>
    <xdr:graphicFrame macro="">
      <xdr:nvGraphicFramePr>
        <xdr:cNvPr id="2" name="Gráfico 1">
          <a:extLst>
            <a:ext uri="{FF2B5EF4-FFF2-40B4-BE49-F238E27FC236}">
              <a16:creationId xmlns:a16="http://schemas.microsoft.com/office/drawing/2014/main" id="{59289190-580F-4C10-B98A-0576256A3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248770</xdr:colOff>
      <xdr:row>18</xdr:row>
      <xdr:rowOff>87126</xdr:rowOff>
    </xdr:from>
    <xdr:to>
      <xdr:col>17</xdr:col>
      <xdr:colOff>282388</xdr:colOff>
      <xdr:row>34</xdr:row>
      <xdr:rowOff>187418</xdr:rowOff>
    </xdr:to>
    <xdr:graphicFrame macro="">
      <xdr:nvGraphicFramePr>
        <xdr:cNvPr id="3" name="Gráfico 2">
          <a:extLst>
            <a:ext uri="{FF2B5EF4-FFF2-40B4-BE49-F238E27FC236}">
              <a16:creationId xmlns:a16="http://schemas.microsoft.com/office/drawing/2014/main" id="{A71B2422-A400-4FC3-99B0-22B7E84A3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142876</xdr:colOff>
      <xdr:row>5</xdr:row>
      <xdr:rowOff>19049</xdr:rowOff>
    </xdr:from>
    <xdr:to>
      <xdr:col>23</xdr:col>
      <xdr:colOff>495301</xdr:colOff>
      <xdr:row>22</xdr:row>
      <xdr:rowOff>9524</xdr:rowOff>
    </xdr:to>
    <xdr:graphicFrame macro="">
      <xdr:nvGraphicFramePr>
        <xdr:cNvPr id="2" name="Gráfico 1">
          <a:extLst>
            <a:ext uri="{FF2B5EF4-FFF2-40B4-BE49-F238E27FC236}">
              <a16:creationId xmlns:a16="http://schemas.microsoft.com/office/drawing/2014/main" id="{09E4DE57-B65D-45AD-8096-3833264D9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285750</xdr:colOff>
      <xdr:row>23</xdr:row>
      <xdr:rowOff>76199</xdr:rowOff>
    </xdr:from>
    <xdr:to>
      <xdr:col>15</xdr:col>
      <xdr:colOff>600075</xdr:colOff>
      <xdr:row>37</xdr:row>
      <xdr:rowOff>38100</xdr:rowOff>
    </xdr:to>
    <xdr:graphicFrame macro="">
      <xdr:nvGraphicFramePr>
        <xdr:cNvPr id="3" name="Gráfico 2">
          <a:extLst>
            <a:ext uri="{FF2B5EF4-FFF2-40B4-BE49-F238E27FC236}">
              <a16:creationId xmlns:a16="http://schemas.microsoft.com/office/drawing/2014/main" id="{CC486864-36BE-44C6-B178-3CFEFB3E1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142876</xdr:colOff>
      <xdr:row>5</xdr:row>
      <xdr:rowOff>19049</xdr:rowOff>
    </xdr:from>
    <xdr:to>
      <xdr:col>23</xdr:col>
      <xdr:colOff>495301</xdr:colOff>
      <xdr:row>22</xdr:row>
      <xdr:rowOff>9524</xdr:rowOff>
    </xdr:to>
    <xdr:graphicFrame macro="">
      <xdr:nvGraphicFramePr>
        <xdr:cNvPr id="2" name="Gráfico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285750</xdr:colOff>
      <xdr:row>23</xdr:row>
      <xdr:rowOff>76199</xdr:rowOff>
    </xdr:from>
    <xdr:to>
      <xdr:col>15</xdr:col>
      <xdr:colOff>600075</xdr:colOff>
      <xdr:row>37</xdr:row>
      <xdr:rowOff>38100</xdr:rowOff>
    </xdr:to>
    <xdr:graphicFrame macro="">
      <xdr:nvGraphicFramePr>
        <xdr:cNvPr id="3" name="Gráfico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173692</xdr:colOff>
      <xdr:row>2</xdr:row>
      <xdr:rowOff>0</xdr:rowOff>
    </xdr:from>
    <xdr:to>
      <xdr:col>20</xdr:col>
      <xdr:colOff>350184</xdr:colOff>
      <xdr:row>17</xdr:row>
      <xdr:rowOff>156883</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248770</xdr:colOff>
      <xdr:row>20</xdr:row>
      <xdr:rowOff>87126</xdr:rowOff>
    </xdr:from>
    <xdr:to>
      <xdr:col>16</xdr:col>
      <xdr:colOff>282388</xdr:colOff>
      <xdr:row>36</xdr:row>
      <xdr:rowOff>187418</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173692</xdr:colOff>
      <xdr:row>2</xdr:row>
      <xdr:rowOff>0</xdr:rowOff>
    </xdr:from>
    <xdr:to>
      <xdr:col>23</xdr:col>
      <xdr:colOff>437030</xdr:colOff>
      <xdr:row>21</xdr:row>
      <xdr:rowOff>44823</xdr:rowOff>
    </xdr:to>
    <xdr:graphicFrame macro="">
      <xdr:nvGraphicFramePr>
        <xdr:cNvPr id="2" name="Gráfico 1">
          <a:extLst>
            <a:ext uri="{FF2B5EF4-FFF2-40B4-BE49-F238E27FC236}">
              <a16:creationId xmlns:a16="http://schemas.microsoft.com/office/drawing/2014/main" id="{5B36A950-76E9-49B5-A697-F6292C890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226358</xdr:colOff>
      <xdr:row>28</xdr:row>
      <xdr:rowOff>64715</xdr:rowOff>
    </xdr:from>
    <xdr:to>
      <xdr:col>16</xdr:col>
      <xdr:colOff>259976</xdr:colOff>
      <xdr:row>42</xdr:row>
      <xdr:rowOff>176212</xdr:rowOff>
    </xdr:to>
    <xdr:graphicFrame macro="">
      <xdr:nvGraphicFramePr>
        <xdr:cNvPr id="3" name="Gráfico 2">
          <a:extLst>
            <a:ext uri="{FF2B5EF4-FFF2-40B4-BE49-F238E27FC236}">
              <a16:creationId xmlns:a16="http://schemas.microsoft.com/office/drawing/2014/main" id="{DCD7436C-41DD-419E-9CE1-D26129F38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226358</xdr:colOff>
      <xdr:row>28</xdr:row>
      <xdr:rowOff>64715</xdr:rowOff>
    </xdr:from>
    <xdr:to>
      <xdr:col>16</xdr:col>
      <xdr:colOff>259976</xdr:colOff>
      <xdr:row>44</xdr:row>
      <xdr:rowOff>176212</xdr:rowOff>
    </xdr:to>
    <xdr:graphicFrame macro="">
      <xdr:nvGraphicFramePr>
        <xdr:cNvPr id="3" name="Gráfico 2">
          <a:extLst>
            <a:ext uri="{FF2B5EF4-FFF2-40B4-BE49-F238E27FC236}">
              <a16:creationId xmlns:a16="http://schemas.microsoft.com/office/drawing/2014/main" id="{0A0FBF6E-838F-4622-B6D4-F18F4708B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78441</xdr:colOff>
      <xdr:row>3</xdr:row>
      <xdr:rowOff>1121</xdr:rowOff>
    </xdr:from>
    <xdr:to>
      <xdr:col>26</xdr:col>
      <xdr:colOff>212912</xdr:colOff>
      <xdr:row>26</xdr:row>
      <xdr:rowOff>134472</xdr:rowOff>
    </xdr:to>
    <xdr:graphicFrame macro="">
      <xdr:nvGraphicFramePr>
        <xdr:cNvPr id="5" name="Gráfico 4">
          <a:extLst>
            <a:ext uri="{FF2B5EF4-FFF2-40B4-BE49-F238E27FC236}">
              <a16:creationId xmlns:a16="http://schemas.microsoft.com/office/drawing/2014/main" id="{20502D92-4963-B354-5739-3F95C26D2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10</xdr:col>
      <xdr:colOff>226358</xdr:colOff>
      <xdr:row>24</xdr:row>
      <xdr:rowOff>64715</xdr:rowOff>
    </xdr:from>
    <xdr:to>
      <xdr:col>16</xdr:col>
      <xdr:colOff>259976</xdr:colOff>
      <xdr:row>40</xdr:row>
      <xdr:rowOff>176212</xdr:rowOff>
    </xdr:to>
    <xdr:graphicFrame macro="">
      <xdr:nvGraphicFramePr>
        <xdr:cNvPr id="2" name="Gráfico 1">
          <a:extLst>
            <a:ext uri="{FF2B5EF4-FFF2-40B4-BE49-F238E27FC236}">
              <a16:creationId xmlns:a16="http://schemas.microsoft.com/office/drawing/2014/main" id="{B3D59CC0-CC91-41BB-A70C-FB81615C5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78441</xdr:colOff>
      <xdr:row>2</xdr:row>
      <xdr:rowOff>0</xdr:rowOff>
    </xdr:from>
    <xdr:to>
      <xdr:col>26</xdr:col>
      <xdr:colOff>212912</xdr:colOff>
      <xdr:row>22</xdr:row>
      <xdr:rowOff>134472</xdr:rowOff>
    </xdr:to>
    <xdr:graphicFrame macro="">
      <xdr:nvGraphicFramePr>
        <xdr:cNvPr id="3" name="Gráfico 2">
          <a:extLst>
            <a:ext uri="{FF2B5EF4-FFF2-40B4-BE49-F238E27FC236}">
              <a16:creationId xmlns:a16="http://schemas.microsoft.com/office/drawing/2014/main" id="{28994AE4-B05D-40E2-804E-3FA3D2C99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10</xdr:col>
      <xdr:colOff>607358</xdr:colOff>
      <xdr:row>26</xdr:row>
      <xdr:rowOff>42302</xdr:rowOff>
    </xdr:from>
    <xdr:to>
      <xdr:col>16</xdr:col>
      <xdr:colOff>640976</xdr:colOff>
      <xdr:row>42</xdr:row>
      <xdr:rowOff>142593</xdr:rowOff>
    </xdr:to>
    <xdr:graphicFrame macro="">
      <xdr:nvGraphicFramePr>
        <xdr:cNvPr id="2" name="Gráfico 1">
          <a:extLst>
            <a:ext uri="{FF2B5EF4-FFF2-40B4-BE49-F238E27FC236}">
              <a16:creationId xmlns:a16="http://schemas.microsoft.com/office/drawing/2014/main" id="{A3AED8F9-B407-4ED1-ACCE-B359CCFD2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78441</xdr:colOff>
      <xdr:row>1</xdr:row>
      <xdr:rowOff>201705</xdr:rowOff>
    </xdr:from>
    <xdr:to>
      <xdr:col>26</xdr:col>
      <xdr:colOff>212912</xdr:colOff>
      <xdr:row>22</xdr:row>
      <xdr:rowOff>168087</xdr:rowOff>
    </xdr:to>
    <xdr:graphicFrame macro="">
      <xdr:nvGraphicFramePr>
        <xdr:cNvPr id="3" name="Gráfico 2">
          <a:extLst>
            <a:ext uri="{FF2B5EF4-FFF2-40B4-BE49-F238E27FC236}">
              <a16:creationId xmlns:a16="http://schemas.microsoft.com/office/drawing/2014/main" id="{9186B35B-6F76-4C82-B6E4-4A90105A4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607358</xdr:colOff>
      <xdr:row>24</xdr:row>
      <xdr:rowOff>42302</xdr:rowOff>
    </xdr:from>
    <xdr:to>
      <xdr:col>16</xdr:col>
      <xdr:colOff>640976</xdr:colOff>
      <xdr:row>40</xdr:row>
      <xdr:rowOff>142593</xdr:rowOff>
    </xdr:to>
    <xdr:graphicFrame macro="">
      <xdr:nvGraphicFramePr>
        <xdr:cNvPr id="2" name="Gráfico 1">
          <a:extLst>
            <a:ext uri="{FF2B5EF4-FFF2-40B4-BE49-F238E27FC236}">
              <a16:creationId xmlns:a16="http://schemas.microsoft.com/office/drawing/2014/main" id="{C501A79B-04C1-466B-B78D-D3DEED7B5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78441</xdr:colOff>
      <xdr:row>1</xdr:row>
      <xdr:rowOff>201705</xdr:rowOff>
    </xdr:from>
    <xdr:to>
      <xdr:col>26</xdr:col>
      <xdr:colOff>212912</xdr:colOff>
      <xdr:row>20</xdr:row>
      <xdr:rowOff>168087</xdr:rowOff>
    </xdr:to>
    <xdr:graphicFrame macro="">
      <xdr:nvGraphicFramePr>
        <xdr:cNvPr id="3" name="Gráfico 2">
          <a:extLst>
            <a:ext uri="{FF2B5EF4-FFF2-40B4-BE49-F238E27FC236}">
              <a16:creationId xmlns:a16="http://schemas.microsoft.com/office/drawing/2014/main" id="{C93FFF3F-CA00-4D28-A043-6CEC17891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607358</xdr:colOff>
      <xdr:row>18</xdr:row>
      <xdr:rowOff>42302</xdr:rowOff>
    </xdr:from>
    <xdr:to>
      <xdr:col>16</xdr:col>
      <xdr:colOff>640976</xdr:colOff>
      <xdr:row>34</xdr:row>
      <xdr:rowOff>142593</xdr:rowOff>
    </xdr:to>
    <xdr:graphicFrame macro="">
      <xdr:nvGraphicFramePr>
        <xdr:cNvPr id="2" name="Gráfico 1">
          <a:extLst>
            <a:ext uri="{FF2B5EF4-FFF2-40B4-BE49-F238E27FC236}">
              <a16:creationId xmlns:a16="http://schemas.microsoft.com/office/drawing/2014/main" id="{72A4E0E9-BFAA-4E4C-97D6-15E3B29B8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78441</xdr:colOff>
      <xdr:row>1</xdr:row>
      <xdr:rowOff>201705</xdr:rowOff>
    </xdr:from>
    <xdr:to>
      <xdr:col>26</xdr:col>
      <xdr:colOff>212912</xdr:colOff>
      <xdr:row>14</xdr:row>
      <xdr:rowOff>168087</xdr:rowOff>
    </xdr:to>
    <xdr:graphicFrame macro="">
      <xdr:nvGraphicFramePr>
        <xdr:cNvPr id="3" name="Gráfico 2">
          <a:extLst>
            <a:ext uri="{FF2B5EF4-FFF2-40B4-BE49-F238E27FC236}">
              <a16:creationId xmlns:a16="http://schemas.microsoft.com/office/drawing/2014/main" id="{A03B2D66-A871-4AD1-913C-50BFF9BAA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685799</xdr:colOff>
      <xdr:row>23</xdr:row>
      <xdr:rowOff>187978</xdr:rowOff>
    </xdr:from>
    <xdr:to>
      <xdr:col>16</xdr:col>
      <xdr:colOff>719417</xdr:colOff>
      <xdr:row>40</xdr:row>
      <xdr:rowOff>75358</xdr:rowOff>
    </xdr:to>
    <xdr:graphicFrame macro="">
      <xdr:nvGraphicFramePr>
        <xdr:cNvPr id="2" name="Gráfico 1">
          <a:extLst>
            <a:ext uri="{FF2B5EF4-FFF2-40B4-BE49-F238E27FC236}">
              <a16:creationId xmlns:a16="http://schemas.microsoft.com/office/drawing/2014/main" id="{52DCCC60-45DA-45E1-A4FC-EAAFED112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78441</xdr:colOff>
      <xdr:row>1</xdr:row>
      <xdr:rowOff>201705</xdr:rowOff>
    </xdr:from>
    <xdr:to>
      <xdr:col>26</xdr:col>
      <xdr:colOff>212912</xdr:colOff>
      <xdr:row>22</xdr:row>
      <xdr:rowOff>156882</xdr:rowOff>
    </xdr:to>
    <xdr:graphicFrame macro="">
      <xdr:nvGraphicFramePr>
        <xdr:cNvPr id="3" name="Gráfico 2">
          <a:extLst>
            <a:ext uri="{FF2B5EF4-FFF2-40B4-BE49-F238E27FC236}">
              <a16:creationId xmlns:a16="http://schemas.microsoft.com/office/drawing/2014/main" id="{5B2DA4DA-C55C-4A18-9B92-1FF09170A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685799</xdr:colOff>
      <xdr:row>19</xdr:row>
      <xdr:rowOff>187978</xdr:rowOff>
    </xdr:from>
    <xdr:to>
      <xdr:col>16</xdr:col>
      <xdr:colOff>719417</xdr:colOff>
      <xdr:row>36</xdr:row>
      <xdr:rowOff>75358</xdr:rowOff>
    </xdr:to>
    <xdr:graphicFrame macro="">
      <xdr:nvGraphicFramePr>
        <xdr:cNvPr id="2" name="Gráfico 1">
          <a:extLst>
            <a:ext uri="{FF2B5EF4-FFF2-40B4-BE49-F238E27FC236}">
              <a16:creationId xmlns:a16="http://schemas.microsoft.com/office/drawing/2014/main" id="{8EBAE7D9-5377-45A6-8313-B588FC309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78441</xdr:colOff>
      <xdr:row>1</xdr:row>
      <xdr:rowOff>201705</xdr:rowOff>
    </xdr:from>
    <xdr:to>
      <xdr:col>26</xdr:col>
      <xdr:colOff>212912</xdr:colOff>
      <xdr:row>18</xdr:row>
      <xdr:rowOff>156882</xdr:rowOff>
    </xdr:to>
    <xdr:graphicFrame macro="">
      <xdr:nvGraphicFramePr>
        <xdr:cNvPr id="3" name="Gráfico 2">
          <a:extLst>
            <a:ext uri="{FF2B5EF4-FFF2-40B4-BE49-F238E27FC236}">
              <a16:creationId xmlns:a16="http://schemas.microsoft.com/office/drawing/2014/main" id="{B7FD77E5-2105-4AB7-A88D-16CBC270F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809064</xdr:colOff>
      <xdr:row>23</xdr:row>
      <xdr:rowOff>64712</xdr:rowOff>
    </xdr:from>
    <xdr:to>
      <xdr:col>17</xdr:col>
      <xdr:colOff>80682</xdr:colOff>
      <xdr:row>39</xdr:row>
      <xdr:rowOff>153798</xdr:rowOff>
    </xdr:to>
    <xdr:graphicFrame macro="">
      <xdr:nvGraphicFramePr>
        <xdr:cNvPr id="2" name="Gráfico 1">
          <a:extLst>
            <a:ext uri="{FF2B5EF4-FFF2-40B4-BE49-F238E27FC236}">
              <a16:creationId xmlns:a16="http://schemas.microsoft.com/office/drawing/2014/main" id="{86E72EDE-D50E-4806-97ED-1B3A6AECA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78441</xdr:colOff>
      <xdr:row>1</xdr:row>
      <xdr:rowOff>201705</xdr:rowOff>
    </xdr:from>
    <xdr:to>
      <xdr:col>26</xdr:col>
      <xdr:colOff>212912</xdr:colOff>
      <xdr:row>21</xdr:row>
      <xdr:rowOff>145676</xdr:rowOff>
    </xdr:to>
    <xdr:graphicFrame macro="">
      <xdr:nvGraphicFramePr>
        <xdr:cNvPr id="3" name="Gráfico 2">
          <a:extLst>
            <a:ext uri="{FF2B5EF4-FFF2-40B4-BE49-F238E27FC236}">
              <a16:creationId xmlns:a16="http://schemas.microsoft.com/office/drawing/2014/main" id="{22D20C74-2BDE-4322-B78E-BE0E9C85F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809064</xdr:colOff>
      <xdr:row>21</xdr:row>
      <xdr:rowOff>64712</xdr:rowOff>
    </xdr:from>
    <xdr:to>
      <xdr:col>17</xdr:col>
      <xdr:colOff>80682</xdr:colOff>
      <xdr:row>37</xdr:row>
      <xdr:rowOff>153798</xdr:rowOff>
    </xdr:to>
    <xdr:graphicFrame macro="">
      <xdr:nvGraphicFramePr>
        <xdr:cNvPr id="2" name="Gráfico 1">
          <a:extLst>
            <a:ext uri="{FF2B5EF4-FFF2-40B4-BE49-F238E27FC236}">
              <a16:creationId xmlns:a16="http://schemas.microsoft.com/office/drawing/2014/main" id="{946F148C-63D5-41F4-BC13-3748EA4FB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78441</xdr:colOff>
      <xdr:row>1</xdr:row>
      <xdr:rowOff>201705</xdr:rowOff>
    </xdr:from>
    <xdr:to>
      <xdr:col>26</xdr:col>
      <xdr:colOff>212912</xdr:colOff>
      <xdr:row>19</xdr:row>
      <xdr:rowOff>145676</xdr:rowOff>
    </xdr:to>
    <xdr:graphicFrame macro="">
      <xdr:nvGraphicFramePr>
        <xdr:cNvPr id="3" name="Gráfico 2">
          <a:extLst>
            <a:ext uri="{FF2B5EF4-FFF2-40B4-BE49-F238E27FC236}">
              <a16:creationId xmlns:a16="http://schemas.microsoft.com/office/drawing/2014/main" id="{38619BC7-1A6F-4DFC-B069-3F6228D13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47624</xdr:colOff>
      <xdr:row>15</xdr:row>
      <xdr:rowOff>85726</xdr:rowOff>
    </xdr:from>
    <xdr:to>
      <xdr:col>8</xdr:col>
      <xdr:colOff>57150</xdr:colOff>
      <xdr:row>31</xdr:row>
      <xdr:rowOff>66676</xdr:rowOff>
    </xdr:to>
    <xdr:graphicFrame macro="">
      <xdr:nvGraphicFramePr>
        <xdr:cNvPr id="2" name="Gráfico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419100</xdr:colOff>
      <xdr:row>15</xdr:row>
      <xdr:rowOff>114299</xdr:rowOff>
    </xdr:from>
    <xdr:to>
      <xdr:col>15</xdr:col>
      <xdr:colOff>504825</xdr:colOff>
      <xdr:row>29</xdr:row>
      <xdr:rowOff>76200</xdr:rowOff>
    </xdr:to>
    <xdr:graphicFrame macro="">
      <xdr:nvGraphicFramePr>
        <xdr:cNvPr id="3" name="Gráfico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Bernardo Contreras" id="{18C67EF6-535F-42A5-8F93-97F3FC4ADC90}" userId="31cac6f52254bdbb" providerId="Windows Live"/>
  <person displayName="Bernardo Nahuel Contreras" id="{5711AAD5-2161-40DF-9A32-FD669555FEA6}" userId="S::BNContreras@teco.com.ar::cbea280f-38ef-433d-aa88-3d3f3b647022"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5" dT="2026-01-19T14:57:49.26" personId="{5711AAD5-2161-40DF-9A32-FD669555FEA6}" id="{7B3D6C4B-7614-40A5-A1F4-EE8E043B4D3B}">
    <text>GASTOS DÍA VIERNES 
- LORSANI $177,825.65
- VALE: $40.500
- ⁠CANGIANO $60.766,18
- Sofi Adelanto : $10.000</text>
  </threadedComment>
  <threadedComment ref="I7" dT="2026-01-19T15:02:41.03" personId="{5711AAD5-2161-40DF-9A32-FD669555FEA6}" id="{F11282C6-C711-4C25-823D-FC8291948C82}">
    <text xml:space="preserve">Sueldos 1064822
</text>
  </threadedComment>
  <threadedComment ref="I9" dT="2026-01-19T15:03:06.86" personId="{5711AAD5-2161-40DF-9A32-FD669555FEA6}" id="{77695D2F-76D3-4AD5-8606-4860E193BC4B}">
    <text>GASTOS DIA LUNES
- LORSANI: $296,504.47
- Vale sin tacc $55,500
- Coca $32900</text>
  </threadedComment>
  <threadedComment ref="I11" dT="2026-01-19T15:03:50.41" personId="{5711AAD5-2161-40DF-9A32-FD669555FEA6}" id="{3A178DA6-0371-4F78-ABAE-7EDD2AA77191}">
    <text>GASTOS DIA MARTES 
- OHMYCOOKIE $85.800
- ⁠Coca Cola $32.940(pagado)
- ⁠Fecula $146.618,76 (pagado)</text>
  </threadedComment>
  <threadedComment ref="I13" dT="2026-01-19T15:04:58.37" personId="{5711AAD5-2161-40DF-9A32-FD669555FEA6}" id="{6AB779E9-B8E1-410A-B997-6A4068DA1FA0}">
    <text>GASTOS DIA MIÉRCOLES 
- LORSANI $189,382.91
- ⁠Cangiano $79.700,94
- ⁠Adelanto Pato $20.000
- Vale st $27.500
- La Pana $29.600
- Ailin $70800</text>
  </threadedComment>
  <threadedComment ref="I15" dT="2026-01-19T15:07:04.17" personId="{5711AAD5-2161-40DF-9A32-FD669555FEA6}" id="{00C44A35-BE8C-4E13-84C1-744E0C8558A5}">
    <text>GASTOS DIA JUEVES
- Descartables $15.960</text>
  </threadedComment>
  <threadedComment ref="I17" dT="2026-01-19T15:07:54.05" personId="{5711AAD5-2161-40DF-9A32-FD669555FEA6}" id="{97034A98-346D-414C-855B-CB862C5EB337}">
    <text>GASTOS DIA VIERNES 
- LORSANI $124,971.33
- ADELANTO SOFIA $50.000
- ALQUILER $630.000</text>
  </threadedComment>
  <threadedComment ref="I19" dT="2026-01-19T15:11:15.43" personId="{5711AAD5-2161-40DF-9A32-FD669555FEA6}" id="{CB621765-16EA-4F5F-B348-FE71DCA2A013}">
    <text>GASTOS DE SABADO:
- Adelanto Pauli $50.000
- Pago seguro de área protegida $41.000</text>
  </threadedComment>
  <threadedComment ref="I21" dT="2026-01-19T15:11:43.69" personId="{5711AAD5-2161-40DF-9A32-FD669555FEA6}" id="{C300C72E-1269-4B8B-9CB5-0DD06108691E}">
    <text>GASTOS DIA LUNES
- LORSANI: $292,279.06
- ⁠Cangiano $73,566.33
- Adelanto Mati $15.000</text>
  </threadedComment>
  <threadedComment ref="I23" dT="2026-01-19T15:12:37.10" personId="{5711AAD5-2161-40DF-9A32-FD669555FEA6}" id="{C022C0EA-3EFD-4F22-A40F-E3F65580A6BC}">
    <text>GASTOS DE MARTES
- Vale st $71.000
- Comandas $12.000 
- Angeleri $147.000
- Cookies Gio $194.600
- Sandwiches $20.900
- La Pana $37.400</text>
  </threadedComment>
  <threadedComment ref="I25" dT="2026-01-19T15:13:09.22" personId="{5711AAD5-2161-40DF-9A32-FD669555FEA6}" id="{A80963F5-B965-4807-8EAA-2B3860D3D8FA}">
    <text>GASTOS DE MIÉRCOLES:
- Vero $30.000
- Lorsani $234.578.84</text>
  </threadedComment>
  <threadedComment ref="I27" dT="2026-01-19T15:13:46.86" personId="{5711AAD5-2161-40DF-9A32-FD669555FEA6}" id="{1426A5F8-BC78-4773-94B7-DACABEDBDE2A}">
    <text>GASTOS DE JUEVES:
- Cookies sin tacc $70.800
- ⁠Descartable $50.290
- CANGIANO $74.873,83</text>
  </threadedComment>
  <threadedComment ref="I29" dT="2026-01-19T15:14:52.14" personId="{5711AAD5-2161-40DF-9A32-FD669555FEA6}" id="{22CF2338-0080-41DB-BF08-83B774E289E0}">
    <text>GASTOS DE VIERNES:
- valeria $54.000
- Lorsani: $327,395.49
- Adelanto Sofia $10.000
- Adelanto Mati $20.000</text>
  </threadedComment>
  <threadedComment ref="I31" dT="2026-01-19T15:15:57.99" personId="{5711AAD5-2161-40DF-9A32-FD669555FEA6}" id="{74C926B5-A44A-4F26-838A-86ECA960BA3B}">
    <text>Sueldos $1.202.781</text>
  </threadedComment>
  <threadedComment ref="I33" dT="2026-01-29T16:27:25.84" personId="{5711AAD5-2161-40DF-9A32-FD669555FEA6}" id="{393982E6-D87E-4B32-9159-2339EF1A09F5}">
    <text>GASTOS DIA LUNES
- CANGIANO $72,534.9
- LORSANI $157.059,08</text>
  </threadedComment>
  <threadedComment ref="I35" dT="2026-01-29T16:27:59.00" personId="{5711AAD5-2161-40DF-9A32-FD669555FEA6}" id="{C141DF82-CC81-4283-BA70-0BAF145EBB98}">
    <text>Gastos MARTES
Coca $123.480
Sandwich $19.200
Valeria sin tacc $63.500</text>
  </threadedComment>
  <threadedComment ref="I37" dT="2026-01-29T16:29:02.18" personId="{5711AAD5-2161-40DF-9A32-FD669555FEA6}" id="{7167536A-0DD1-4DE9-A4DD-C246E23A4D9F}">
    <text>GASTOS MIÉRCOLES 
- CANGIANO $42.389,05
- LORSANI $168.049.97
- La Nueva Cab : $65.952
- Fecula: $146.600 ( ya está pago)</text>
  </threadedComment>
  <threadedComment ref="I39" dT="2026-01-29T16:29:20.35" personId="{5711AAD5-2161-40DF-9A32-FD669555FEA6}" id="{809BE086-DAB1-46A1-BAB1-7CD8F52DDC83}">
    <text>GASTOS DIA JUEVES 
- DESCARTABLES: $46,430
- LA PANA: $25,400</text>
  </threadedComment>
  <threadedComment ref="I41" dT="2026-01-29T16:30:51.94" personId="{5711AAD5-2161-40DF-9A32-FD669555FEA6}" id="{A2E1A140-5FD0-4DC9-BE5E-5D65BD4DA42E}">
    <text>GASTOS DIA VIERNES 
- COCA: $30500
- Gio: $212.100
- ⁠Lorzani: $92.443,56
- Adelanto Lautaro $100.000
- Vale: $69.500</text>
  </threadedComment>
  <threadedComment ref="I43" dT="2026-01-29T16:31:21.51" personId="{5711AAD5-2161-40DF-9A32-FD669555FEA6}" id="{B508AF1F-144E-449A-BE55-96C3A5F5D5F8}">
    <text>GASTOS DE SABADO:
- Adelanto Sofia $50.000
- Adelanto Matias $30.000
- Adelanto Patito $15.000</text>
  </threadedComment>
  <threadedComment ref="I45" dT="2026-01-29T16:32:05.20" personId="{5711AAD5-2161-40DF-9A32-FD669555FEA6}" id="{7ACFF64F-B0BD-41AA-90F2-247BD1C80170}">
    <text>GASTOS DE LUNES:
- Adelanto Paula $46.000
- Cangiano $71.746.31
- LORSANI: $239.141.75
- Adelanto Sofia $10.000</text>
  </threadedComment>
  <threadedComment ref="I47" dT="2026-01-29T16:32:41.86" personId="{5711AAD5-2161-40DF-9A32-FD669555FEA6}" id="{4A514D76-C13C-4F49-8270-B603CA2CD683}">
    <text>GASTOS DE MARTES:
* Sandwich $28.000</text>
  </threadedComment>
  <threadedComment ref="I49" dT="2026-01-29T16:33:51.09" personId="{5711AAD5-2161-40DF-9A32-FD669555FEA6}" id="{1527A274-5910-4F3D-B361-19B170A469A9}">
    <text>GASTOS MIÉRCOLES 
- LORSANI: $156,998.76
- GRAFICA: $13650</text>
  </threadedComment>
  <threadedComment ref="I51" dT="2026-02-01T01:05:29.39" personId="{5711AAD5-2161-40DF-9A32-FD669555FEA6}" id="{E99D28FE-3913-48D7-92A8-8A1B2D07F45E}">
    <text>GASTOS JUEVES 
- Descartables: $47.530
- valeria: $85.000</text>
  </threadedComment>
  <threadedComment ref="I53" dT="2026-02-01T01:06:44.59" personId="{5711AAD5-2161-40DF-9A32-FD669555FEA6}" id="{4AE747EC-56BA-4735-819B-FF59BA9E00D9}">
    <text>GASTOS VIERNES
- LORSANI: $230.620
- Cangiano: $65,611.71</text>
  </threadedComment>
  <threadedComment ref="I55" dT="2026-02-01T01:07:14.42" personId="{5711AAD5-2161-40DF-9A32-FD669555FEA6}" id="{FC747BC9-823D-4A29-8546-0C251786FEE3}">
    <text>GASTOS SÁBADO 
* Valeria sin tacc: $32.500
* Sueldos $766.710</text>
  </threadedComment>
</ThreadedComments>
</file>

<file path=xl/threadedComments/threadedComment2.xml><?xml version="1.0" encoding="utf-8"?>
<ThreadedComments xmlns="http://schemas.microsoft.com/office/spreadsheetml/2018/threadedcomments" xmlns:x="http://schemas.openxmlformats.org/spreadsheetml/2006/main">
  <threadedComment ref="I3" dT="2026-02-13T16:31:31.65" personId="{5711AAD5-2161-40DF-9A32-FD669555FEA6}" id="{A912510C-3BB7-485E-9FED-01826E088AC1}">
    <text>GASTOS LUNES
* Lorsani : $233.452,46</text>
  </threadedComment>
  <threadedComment ref="I5" dT="2026-02-13T16:32:43.95" personId="{5711AAD5-2161-40DF-9A32-FD669555FEA6}" id="{C405C6D6-EB34-44C1-9E05-C1E7DD4A4D35}">
    <text>GASTOS MARTES 
Lorsani : $88.413,83
Sandwichs: $21.000
Oh my cookie: $212.700
Cangiano: $88.181,02
Ailin: $35.400
Vale st $88.800
Sueldo Xime $100.000</text>
  </threadedComment>
  <threadedComment ref="I7" dT="2026-02-13T16:33:01.54" personId="{5711AAD5-2161-40DF-9A32-FD669555FEA6}" id="{05B5B992-D9FD-47F9-A7BB-32F90CB1D7D1}">
    <text>GASTOS Miercoles
Lorsani : $245.164,54
Sueldo Xime $500.000</text>
  </threadedComment>
  <threadedComment ref="I9" dT="2026-02-13T16:33:44.24" personId="{5711AAD5-2161-40DF-9A32-FD669555FEA6}" id="{CEA87711-3FB4-4007-99AB-BDF03A704F98}">
    <text>GASTOS JUEVES
Lorsani : $79.078,42
Cangiano: $40.269,56
Descartables: $57.080
Moldes cortantes $26.200
Angeleri: $146.619</text>
  </threadedComment>
  <threadedComment ref="I11" dT="2026-02-13T16:35:03.27" personId="{5711AAD5-2161-40DF-9A32-FD669555FEA6}" id="{A61B5922-0437-44B0-A158-3F8DC37737D9}">
    <text>GASTOS VIERNES
Lorsani : $353.496,71
Cangiano: $54.250,27 (Pagar $6338.81)
Sueldo Xime: $150.000</text>
  </threadedComment>
  <threadedComment ref="I13" dT="2026-02-13T16:36:45.78" personId="{5711AAD5-2161-40DF-9A32-FD669555FEA6}" id="{4FD4FC63-2127-4C90-A60E-32671AF69E28}">
    <text>GASTOS SABADO:
Adelanto Paula $30.000
Andrea $32.000
Ana $8.000
Adelanto Lautaro $80.000
Adelanto Matias $30.000
La Pana $37.400
Sueldo Xime $154.000</text>
  </threadedComment>
  <threadedComment ref="I15" dT="2026-02-13T16:38:14.84" personId="{5711AAD5-2161-40DF-9A32-FD669555FEA6}" id="{36D44A50-9636-4859-94BF-9472A01A3398}">
    <text>GASTOS LUNES
Lorsani : $158,343.14
Cangiano: $40,269.56
Adelanto Paula $82.000
Adelanto Sofia $10.000</text>
  </threadedComment>
  <threadedComment ref="I17" dT="2026-02-13T16:39:09.01" personId="{5711AAD5-2161-40DF-9A32-FD669555FEA6}" id="{B2C77011-210A-4290-97C8-F04842241DA4}">
    <text>GASTOS MARTES
Cangiano: $22,757.28
Sandwich: $28.000
Alquiler $710.000</text>
  </threadedComment>
  <threadedComment ref="I19" dT="2026-02-13T16:40:53.39" personId="{5711AAD5-2161-40DF-9A32-FD669555FEA6}" id="{7665A65F-2A46-4C7C-9714-E90104AAAE05}">
    <text>GASTOS MIERCOLES:
Lorsani: $231.404,53
Margarina: $35.055
Cangiano: $67.118,36
Cables: $5.100
Adelanto Lautaro $30.000
Adelanto Paula $4.000
Sueldo Xime $155.000</text>
  </threadedComment>
  <threadedComment ref="I21" dT="2026-02-13T16:42:48.52" personId="{5711AAD5-2161-40DF-9A32-FD669555FEA6}" id="{08EFD76C-42DA-499F-A517-E8EC1C65CA1E}">
    <text>GASTOS JUEVES: 
Lorsani: $45.843,46
Descartable $59,150
Kiosco $6500
Angeleri $147.000
Adelanto Mati $20.000
Mantenimiento amasadora y ralladora $20.000
Sueldo Xime $30.000
Adelanto Pato $147.000</text>
  </threadedComment>
  <threadedComment ref="I23" dT="2026-02-15T00:26:02.69" personId="{18C67EF6-535F-42A5-8F93-97F3FC4ADC90}" id="{C2CE55CF-1C06-4D67-AFFE-B32E8AA6EF5F}">
    <text xml:space="preserve">Valeria sin tacc $61.000
Coca $72.260
Lorsani $264.170
Cangiano $40.269
Gio $188.200
Sueldo Xime $70.000
</text>
  </threadedComment>
</ThreadedComments>
</file>

<file path=xl/threadedComments/threadedComment3.xml><?xml version="1.0" encoding="utf-8"?>
<ThreadedComments xmlns="http://schemas.microsoft.com/office/spreadsheetml/2018/threadedcomments" xmlns:x="http://schemas.openxmlformats.org/spreadsheetml/2006/main">
  <threadedComment ref="H47" dT="2025-03-15T12:32:13.97" personId="{5711AAD5-2161-40DF-9A32-FD669555FEA6}" id="{7E863964-4A0D-4828-AE6E-6891419CAC37}">
    <text xml:space="preserve">Sandwiches 13300
Cookies 144600
Lorsani 62211
Sin tacc 32000
Coca Cola 102600
Sueldo pato 145000
</text>
  </threadedComment>
  <threadedComment ref="H49" dT="2025-03-15T12:33:32.90" personId="{5711AAD5-2161-40DF-9A32-FD669555FEA6}" id="{C8BF295D-335C-4C7E-B1B8-81CEE3689A0F}">
    <text>Sandwiches 12300
Sin tacc 31500
Tu postre 9000
La Pana 15000
Cangiano 67144
Descartables 68450
Lorsani 420213
Adelanto Paula 15000
Grafica 7600
Margarina 19000
Utensillos 47000</text>
  </threadedComment>
</ThreadedComments>
</file>

<file path=xl/threadedComments/threadedComment4.xml><?xml version="1.0" encoding="utf-8"?>
<ThreadedComments xmlns="http://schemas.microsoft.com/office/spreadsheetml/2018/threadedcomments" xmlns:x="http://schemas.openxmlformats.org/spreadsheetml/2006/main">
  <threadedComment ref="H3" dT="2025-03-15T12:49:09.91" personId="{5711AAD5-2161-40DF-9A32-FD669555FEA6}" id="{5B1195D0-A0D7-4DC4-BC12-BFF783803A40}">
    <text>Sandwiches 11850
Sin tacc 46350
Sueldos 617505</text>
  </threadedComment>
  <threadedComment ref="H5" dT="2025-03-15T12:51:53.09" personId="{5711AAD5-2161-40DF-9A32-FD669555FEA6}" id="{630E1C37-3AEF-405B-9193-F1FB71F07059}">
    <text>Sin tacc 45600
Sandwiches 15150
Margarina 17414
Cangiano 50081
Cookies sin tacc 26400
Adelanto Paula 13000
Oh my cookies 117000
Lorsani 262498
Tu postre 18000</text>
  </threadedComment>
  <threadedComment ref="H7" dT="2025-03-15T12:57:07.65" personId="{5711AAD5-2161-40DF-9A32-FD669555FEA6}" id="{B2D852CA-E1C0-4B48-930A-549AC7FD4B69}">
    <text xml:space="preserve">Sin tacc 47500
Sandwiches 11600
Cangiano 53448
Descartables 29610
Vale 11400
Lorsani 238819
</text>
  </threadedComment>
  <threadedComment ref="H9" dT="2025-03-15T13:01:21.32" personId="{5711AAD5-2161-40DF-9A32-FD669555FEA6}" id="{01457A74-9496-4D0A-827E-B9AD7040ED27}">
    <text>Sandwiches 12300
Coca cola 78800
Adelanto Paula 30000
Lorsani 35150</text>
  </threadedComment>
  <threadedComment ref="H11" dT="2025-03-15T13:02:48.90" personId="{5711AAD5-2161-40DF-9A32-FD669555FEA6}" id="{3B572DD0-BE5F-4E5D-974C-A662D2E38B71}">
    <text>Angeleri 127000
Valeria 46000
Lucas 60000
Adelanto Lautaro 20000</text>
  </threadedComment>
  <threadedComment ref="H13" dT="2025-03-15T13:13:29.49" personId="{5711AAD5-2161-40DF-9A32-FD669555FEA6}" id="{4281C2B5-0B6F-43F3-AB2E-846D69ABE9C8}">
    <text>Bancos 36000
Lorsani 224017
Sandwiches 13300
Vale 26600
Angeleri 126190
Cookies 90300
Cangiano 80160
Adelanto Emi 120000
Impresiones 1000
Alquiler 53000
Correa amasadora 4600
Cookies sin tacc 26400</text>
  </threadedComment>
  <threadedComment ref="H15" dT="2025-03-15T13:17:22.74" personId="{5711AAD5-2161-40DF-9A32-FD669555FEA6}" id="{F6FA6198-2FE5-4689-9C03-F9551BF74B20}">
    <text>Lorsani 257038
Sandwiches 19100
Matafuegos 13900
Gluten free 22200
Tu postre 18000
Quesos 24013
La pana 8000
Grafica 400
Sellos y comandas 30000
Cangiano 20877</text>
  </threadedComment>
  <threadedComment ref="H17" dT="2025-03-15T13:20:59.30" personId="{5711AAD5-2161-40DF-9A32-FD669555FEA6}" id="{BC51E381-D07A-4278-B8D8-53B6B5CBE157}">
    <text>Descartables 43960
Lorsani 155547
San Luis a mil 16000
Adelanto lauti 10000
Adelanto Paula 32000
Adelanto Mati 50000
Gluten Free 43800
Plafones 30000</text>
  </threadedComment>
  <threadedComment ref="H19" dT="2025-03-15T13:23:44.90" personId="{5711AAD5-2161-40DF-9A32-FD669555FEA6}" id="{C619C1CC-E931-42D3-8C6C-1EBC69EBBD53}">
    <text>Seguro resp civil 15900
Cangiano 22215
Lorsani 306483+186178
Coca cola 51160
Lucas 38000
Vero 8000
Seguro la segunda 16000
Credito 149000
Credito caja social 28334
Ingresos brutos 48000
Gas 8532
Afip 161000
Antonio 25000</text>
  </threadedComment>
  <threadedComment ref="H21" dT="2025-03-15T13:25:25.39" personId="{5711AAD5-2161-40DF-9A32-FD669555FEA6}" id="{6B5A0DD5-6914-431B-A30D-C3FAB01C902D}">
    <text>Cookies 105000
Sin gluten 46050
Sandwiches 17400
La Pana 15000
Tu postre 9000
Cangiano 63379
Lorsani 192563</text>
  </threadedComment>
  <threadedComment ref="H23" dT="2025-03-21T16:34:36.41" personId="{5711AAD5-2161-40DF-9A32-FD669555FEA6}" id="{115CA3F7-B6BB-474D-B430-C6916189F276}">
    <text>Sueldos 379090
Sin gluten 36100</text>
  </threadedComment>
  <threadedComment ref="H25" dT="2025-03-25T13:59:30.06" personId="{5711AAD5-2161-40DF-9A32-FD669555FEA6}" id="{06DBEAB6-A024-43EF-B3A3-058791ECF11A}">
    <text>Vale 48450
Sandwiches 13300
Descartables 34210
Cangiano 65307
Lorsani 140353</text>
  </threadedComment>
  <threadedComment ref="H27" dT="2025-03-25T14:00:17.75" personId="{5711AAD5-2161-40DF-9A32-FD669555FEA6}" id="{686BECD8-E088-4601-BE9A-197DDD7E9A41}">
    <text xml:space="preserve">Cangiano 36557
Lorsani 207862
Angeleri 126188
Sin tacc 12350
Cookies sin tacc 26400
Fecula 12000
</text>
  </threadedComment>
  <threadedComment ref="H29" dT="2025-03-25T14:00:55.61" personId="{5711AAD5-2161-40DF-9A32-FD669555FEA6}" id="{190C9DB5-227A-4BE2-8CA4-5A7E420B902F}">
    <text>Lorsani 131708
Cookies 105000
Budin 18000
Budin la pana 8000
Lorsani 180570</text>
  </threadedComment>
  <threadedComment ref="H31" dT="2025-03-25T14:01:37.90" personId="{5711AAD5-2161-40DF-9A32-FD669555FEA6}" id="{C1831D63-56DF-441D-93C7-45453830BBDB}">
    <text>Cangiano 44965
Sin tacc 63650
Sandwiches 16000
Lorsani 164286
Budin la Pana 8000
Budin tu postre 8000</text>
  </threadedComment>
  <threadedComment ref="H33" dT="2025-03-25T14:03:06.78" personId="{5711AAD5-2161-40DF-9A32-FD669555FEA6}" id="{DF5FC587-13EB-4A18-AF13-04F03CC92D74}">
    <text>Adelanto lauti 40000
Jesus, Andrea y Valen 38000
Lorsani 295726+76066
Cangiano 12342
Angeleri 126200
Sin gluten 22800
Sandwiches 10650
Ailin 26400
Tu postre 9000
Salame 6000
Adelanto Paula 10000</text>
  </threadedComment>
  <threadedComment ref="H35" dT="2025-03-31T15:49:01.42" personId="{5711AAD5-2161-40DF-9A32-FD669555FEA6}" id="{ED4BF945-0EE7-4031-94E9-FE1FB68D5AD8}">
    <text xml:space="preserve">Adelanto Paula 40000
Adelanto Emi 15000
Sandwiches 12000
Sin gluten 33250
</text>
  </threadedComment>
  <threadedComment ref="H37" dT="2025-03-31T15:50:02.52" personId="{5711AAD5-2161-40DF-9A32-FD669555FEA6}" id="{B5BD5A1C-C48B-4EDF-9A83-DFD14EEC70D4}">
    <text xml:space="preserve">Sin gluten 63650
Sandwiches 14850
Descartables 72080
Cookies 105000
Cangiano 22215
Lorsani 163608+326687
Bastidor 60000
Adelanto Paula 10000
Budin ingles 10000
</text>
  </threadedComment>
  <threadedComment ref="H39" dT="2025-03-31T15:53:29.65" personId="{5711AAD5-2161-40DF-9A32-FD669555FEA6}" id="{32CA689A-CF87-4432-953A-B4759D566EEA}">
    <text>Cangiano 22215+33467
Sin gluten 58900
Sandwiches 5100
Fecula 126200
Tu postre 36000
Lorsani 233206
Churros 30000
Adelanto Mati 20000</text>
  </threadedComment>
  <threadedComment ref="H41" dT="2025-03-31T15:55:29.59" personId="{5711AAD5-2161-40DF-9A32-FD669555FEA6}" id="{E64D4083-5517-4D81-8157-BF5D7E6FBAD8}">
    <text>Sin gluten 22800
Lorsani 228008
Coca 83310
Cookies 117000
Cangiano 22218
Focos 25209
Desinfeccion 25000
Lorsani 324888</text>
  </threadedComment>
  <threadedComment ref="H43" dT="2025-03-31T15:57:07.64" personId="{5711AAD5-2161-40DF-9A32-FD669555FEA6}" id="{87BAEC6F-6EF8-449A-A852-97E845B79EB0}">
    <text xml:space="preserve">Sin gluten 63650
Sandwiches 17400
Churros 12000
Jesus y Andrea 35000
Sueldo Emi 145725
Sueldo Lauti 116925
</text>
  </threadedComment>
  <threadedComment ref="H45" dT="2025-04-02T14:22:57.18" personId="{5711AAD5-2161-40DF-9A32-FD669555FEA6}" id="{3C7BBF96-60E3-48FA-8902-C5A70F3A0436}">
    <text>Vale 12350
Sueldo Mati 162360
Sueldo Alan 71750
Sueldo Paula 121360</text>
  </threadedComment>
  <threadedComment ref="H47" dT="2025-04-02T14:23:33.37" personId="{5711AAD5-2161-40DF-9A32-FD669555FEA6}" id="{38157D91-7FCF-4A07-B5E0-BC034A3455E7}">
    <text>Churros 8000
Sandwiches 11600
Fecula 127000
Cangiano 40202
Lorsani 227964</text>
  </threadedComment>
</ThreadedComments>
</file>

<file path=xl/threadedComments/threadedComment5.xml><?xml version="1.0" encoding="utf-8"?>
<ThreadedComments xmlns="http://schemas.microsoft.com/office/spreadsheetml/2018/threadedcomments" xmlns:x="http://schemas.openxmlformats.org/spreadsheetml/2006/main">
  <threadedComment ref="H3" dT="2025-04-02T14:31:03.13" personId="{5711AAD5-2161-40DF-9A32-FD669555FEA6}" id="{A77EA7CB-4822-4463-8144-A02828761E59}">
    <text xml:space="preserve">Vale 45600
Sandwiches 13300
Churros 16000
Descartables 53810
Lorsani 365117
Cookies 117000
Cookies sin tacc 26400
Tu postre 36000
</text>
  </threadedComment>
  <threadedComment ref="H5" dT="2025-04-04T14:03:29.69" personId="{5711AAD5-2161-40DF-9A32-FD669555FEA6}" id="{AD3FB40E-9FFC-47DF-9F1F-532C8B90D402}">
    <text>Sin tacc 45600
Churros 8000
Cangiano 114352
Lorsani 306496</text>
  </threadedComment>
  <threadedComment ref="H7" dT="2025-04-04T14:04:28.37" personId="{5711AAD5-2161-40DF-9A32-FD669555FEA6}" id="{86DED76C-A50E-493D-ABC4-C6757EFC3E6B}">
    <text>Churros 8000
Lorsani 182178
Sin tacc 33250
Valentino 16000
Ailin 26400
La pana 10000
Descartable 52870
Angeleri 126200
Jesus 28000
Lorsani 68000</text>
  </threadedComment>
  <threadedComment ref="H9" dT="2025-04-10T14:12:51.28" personId="{5711AAD5-2161-40DF-9A32-FD669555FEA6}" id="{82585CAE-BC8D-4C4C-9324-712C2BFED788}">
    <text>Cangiano 56375
Churros 8000
Sandwiches 17400
Cookies 117000
Lorsani 386833
Sin gluten 36250</text>
  </threadedComment>
  <threadedComment ref="H11" dT="2025-04-10T14:14:00.11" personId="{5711AAD5-2161-40DF-9A32-FD669555FEA6}" id="{13269C25-5CCC-4A6E-B827-DC08EA43B169}">
    <text>Churros 4000
Adelanto Paula 40000
Lucas herrero 8000
Budines 36000</text>
  </threadedComment>
  <threadedComment ref="H13" dT="2025-04-10T14:15:07.10" personId="{5711AAD5-2161-40DF-9A32-FD669555FEA6}" id="{D8449370-060B-4882-B339-C5D0DAC584E3}">
    <text>Sandwiches 17400
Angeleri 127000
Cangiano 56375
Sin gluten 33250
Churros 8000
Lorsani 233073</text>
  </threadedComment>
  <threadedComment ref="H15" dT="2025-04-10T14:16:42.09" personId="{5711AAD5-2161-40DF-9A32-FD669555FEA6}" id="{67015958-17D1-4A3B-ABB1-791F3D93A36A}">
    <text>Lorsani 341192
Churros 8000
Sin gluten 56050
Cookies sin tacc 26400
Cangiano 43306
Desinfeccion 75000
Delivery 25000
Adelanto Lauti 130000</text>
  </threadedComment>
  <threadedComment ref="H17" dT="2025-04-10T14:20:42.86" personId="{5711AAD5-2161-40DF-9A32-FD669555FEA6}" id="{EA67135A-C9D6-4CC4-B553-FE2B0BFF2D80}">
    <text>Churros 8000
Sin gluten 33250
Cookies 115500
La pana 32000
Tu postre 27000
Cangiano 74425
Lorsani 71841
Margarina 16200
Sandwiches 12300
Margarina 15900
Adelanto Sofi 10000
Adelanto Paula 44000</text>
  </threadedComment>
  <threadedComment ref="H19" dT="2025-04-12T14:15:53.32" personId="{5711AAD5-2161-40DF-9A32-FD669555FEA6}" id="{02E9F95E-F8B0-4D7D-A39B-E41C6FFFA7F1}">
    <text>Sandwiches 17400
Churros 8000
Cookies sin tacc 26400
Sin gluten 33250
Adelanto Paula 44000
Adelanto Sofi 10000
Descartables 64800</text>
  </threadedComment>
  <threadedComment ref="H21" dT="2025-04-12T14:16:51.51" personId="{5711AAD5-2161-40DF-9A32-FD669555FEA6}" id="{658CE147-871F-440F-AF5C-4235A1B7D19D}">
    <text>Churros 8000
Sin gluten 63650
Rosca de pascua 10500
Cangiano 58479
Lorsani 342837
Fécula 127000
Cortinas 35000
Andrea sueldo 42000</text>
  </threadedComment>
  <threadedComment ref="H23" dT="2025-04-21T14:31:47.65" personId="{5711AAD5-2161-40DF-9A32-FD669555FEA6}" id="{0DC750B3-B61B-4DD8-8BDE-2B01E5D2F6C7}">
    <text>Churros 4000
Sandwiches 13300
Sin tacc 33250
Sueldos 374805</text>
  </threadedComment>
  <threadedComment ref="H25" dT="2025-04-21T14:36:30.56" personId="{5711AAD5-2161-40DF-9A32-FD669555FEA6}" id="{695A23AC-9B11-4EDC-BB1B-ED196EDC9FFD}">
    <text>Sandwiches 17400
Churros 8000
Grafica 16000
Sin gluten 33250
Cookies 128700
Cangiano 56676
Lorsani 269666+203830+111405</text>
  </threadedComment>
  <threadedComment ref="H27" dT="2025-04-21T14:40:01.32" personId="{5711AAD5-2161-40DF-9A32-FD669555FEA6}" id="{69EDABDD-C4F7-44E1-A2DE-5180AAB4B1A1}">
    <text>Churros 8000
Sandwiches 12750
Sin gluten 63650
Lorsani 373466
La pana 43000
Cangiano 56675
Coca Cola 68590
Cookies sin tacc 26400
Descartables 6000
Lorsani 10800</text>
  </threadedComment>
  <threadedComment ref="H29" dT="2025-04-21T14:41:49.76" personId="{5711AAD5-2161-40DF-9A32-FD669555FEA6}" id="{C119BA7B-644F-4B2B-B5C6-FD13A396884E}">
    <text>San luis a mil 16000
Margarina 8540
Cookies 128700
Lorsani 144865
Graficas 16000
Angeleri 127000
Cangiano 56675
Sin gluten 33250
Descartable 71010</text>
  </threadedComment>
  <threadedComment ref="H31" dT="2025-04-21T14:45:14.96" personId="{5711AAD5-2161-40DF-9A32-FD669555FEA6}" id="{1778C1A2-0969-45AD-A269-5FF96A456592}">
    <text>Cangiano 47625
Lorsani 426500
Sandwiches 12200
Adelanto paula 60000
Sin tacc 102000
Churros 12000
Margarina 20000
Valentina 15000
Andrea 42000</text>
  </threadedComment>
  <threadedComment ref="H35" dT="2025-04-21T14:47:09.37" personId="{5711AAD5-2161-40DF-9A32-FD669555FEA6}" id="{1E9D8EC1-E186-4105-9DC5-425B0582527E}">
    <text>Cangiano 35937
Churros 8000
Angeleri 127000
Adelanto Paula 20000
Adelanto Sofi 50000</text>
  </threadedComment>
  <threadedComment ref="H37" dT="2025-04-26T12:37:09.48" personId="{5711AAD5-2161-40DF-9A32-FD669555FEA6}" id="{94CEDB14-BBC1-4B4F-8C63-6A9E9DF3C736}">
    <text>Churros 8000
La Pana 32200
Cangiano 113945
Sandwiches 14100
Lorsani 409486
Vale 33250
Adelanto Mati 400000</text>
  </threadedComment>
  <threadedComment ref="H39" dT="2025-04-26T12:39:47.56" personId="{5711AAD5-2161-40DF-9A32-FD669555FEA6}" id="{D31A6F40-C62B-4537-83D8-4766A01809D5}">
    <text>Churros 8000
Tu postre 18000
Sin gluten 33250
Luz 413000
Tu proximo paso (3 meses) 450000
Monotributo 34000
Caja Social 29000
Ingresos brutos 21000
Gas 3400
Coca cola 62800
Cangiano 56977
Lorsani 99360</text>
  </threadedComment>
  <threadedComment ref="H41" dT="2025-04-26T12:42:51.77" personId="{5711AAD5-2161-40DF-9A32-FD669555FEA6}" id="{776C1887-B220-43DB-9DAC-27F65EEE8705}">
    <text>Lorsani 375998
Sin gluten 67000
Sandwiches 15550
Churros 8000
Cookies 126300
Cookies sin tacc 26400</text>
  </threadedComment>
  <threadedComment ref="H43" dT="2025-04-26T12:44:17.33" personId="{5711AAD5-2161-40DF-9A32-FD669555FEA6}" id="{C9C023E0-1D53-4B50-B694-73A630BFEED3}">
    <text>Churros 8000
Descartables 58190
Sin tacc 35000
Lorsani 144671
Cangiano 49549
Adelanto Paula 40000</text>
  </threadedComment>
  <threadedComment ref="H45" dT="2025-04-26T12:47:27.11" personId="{5711AAD5-2161-40DF-9A32-FD669555FEA6}" id="{5A00E132-C0DC-4B72-BFA5-68170192E70C}">
    <text>Lorsani 467684
La Pana 22200
Sin gluten 43000
Churros 8000
Sandwiches 17100
Cangiano 79443
Lorsani 11783
Andrea 37000
Valentina 20000
Jesus 10000
Adelanto Sofi 10000</text>
  </threadedComment>
  <threadedComment ref="H47" dT="2025-04-30T13:37:47.29" personId="{5711AAD5-2161-40DF-9A32-FD669555FEA6}" id="{E20730DF-7A9E-440C-9DFB-4275DE0F22E6}">
    <text xml:space="preserve">Churros 8000
Vale 73000
Cerrajero 42000
Sueldos 425682
</text>
  </threadedComment>
  <threadedComment ref="H49" dT="2025-04-30T13:38:55.63" personId="{5711AAD5-2161-40DF-9A32-FD669555FEA6}" id="{B6CC99B9-0E92-420D-83C9-5565A468E007}">
    <text>Churros 8000
Lorsani 312081
Cangiano 56976
Angeleri 126200
La Pana 22200
Margarina 35000</text>
  </threadedComment>
  <threadedComment ref="H51" dT="2025-04-30T13:39:55.14" personId="{5711AAD5-2161-40DF-9A32-FD669555FEA6}" id="{F5D8F7A9-C3E7-44F6-BBFE-648AAAD85E15}">
    <text>Churros 8000
Sandwiches 18450
Sin gluten 83500
Cookies 126300</text>
  </threadedComment>
  <threadedComment ref="H53" dT="2025-05-12T14:39:25.01" personId="{5711AAD5-2161-40DF-9A32-FD669555FEA6}" id="{19C26FF9-5D42-400E-B107-BCBB7360F07B}">
    <text>Churros 8000
Cookies sin tacc 26400
Sandwiches 11300
Lorsani 87798
Descartables 69780
Cangiano 77646
Sin gluten 26500
Lorsani 355929
Coca Cola 95000
Adelanto Sofi 80000
Adelanto Paula 10000</text>
  </threadedComment>
</ThreadedComments>
</file>

<file path=xl/threadedComments/threadedComment6.xml><?xml version="1.0" encoding="utf-8"?>
<ThreadedComments xmlns="http://schemas.microsoft.com/office/spreadsheetml/2018/threadedcomments" xmlns:x="http://schemas.openxmlformats.org/spreadsheetml/2006/main">
  <threadedComment ref="H5" dT="2025-05-17T12:57:03.66" personId="{5711AAD5-2161-40DF-9A32-FD669555FEA6}" id="{36F7E054-3054-44DB-B4E2-C14942158B6A}">
    <text>La pana 32200
Sin gluten 38500
Angeleri 126200
Valentina 10000
Andrea 45000
Jesus 18000
Sandwiches 8400</text>
  </threadedComment>
  <threadedComment ref="H7" dT="2025-05-17T12:57:44.91" personId="{5711AAD5-2161-40DF-9A32-FD669555FEA6}" id="{CA4E4584-53DF-4752-AB72-5A09D8972F7B}">
    <text xml:space="preserve">Cangiano 59263
</text>
  </threadedComment>
  <threadedComment ref="H9" dT="2025-05-17T12:59:44.34" personId="{5711AAD5-2161-40DF-9A32-FD669555FEA6}" id="{74E72303-E8A1-4490-89D8-F85E9C212479}">
    <text>Abrochadora 10000
Churros 8000
Sandwiches 13750
Sin gluten 74500
Cookies 126300
Cookies sin tacc 39600
Angeleri 126200
Lorsani 326292</text>
  </threadedComment>
  <threadedComment ref="H11" dT="2025-05-17T13:01:43.27" personId="{5711AAD5-2161-40DF-9A32-FD669555FEA6}" id="{D4608774-679F-4345-82F8-4FE6505116C4}">
    <text xml:space="preserve">Churros 8000
Cangiano 49912+60711
Huevos 7200
Sin gluten 32500
Lorsani 272295+12605
</text>
  </threadedComment>
  <threadedComment ref="H13" dT="2025-05-17T13:03:46.81" personId="{5711AAD5-2161-40DF-9A32-FD669555FEA6}" id="{7F614DE1-E99D-4A27-8E1D-6CF9D52441ED}">
    <text>Churros 8000
Sin gluten 30000
Sandiwches 14200
Lorsani 270068
Cangiano 59263</text>
  </threadedComment>
  <threadedComment ref="H15" dT="2025-05-17T13:06:29.19" personId="{5711AAD5-2161-40DF-9A32-FD669555FEA6}" id="{AB1C0033-4502-4090-9C96-14AE66755C12}">
    <text>Lorsani 274961
Cangiano 59263
Churros 8000
Margarina 34450
Sin gluten 26500
Adelanto Lauti 130000
Grafica 15000</text>
  </threadedComment>
  <threadedComment ref="H17" dT="2025-05-17T13:09:21.17" personId="{5711AAD5-2161-40DF-9A32-FD669555FEA6}" id="{FF71DF66-BB8E-4D72-BD90-48C3B2659729}">
    <text>Sandwiches 21200
Descartables 56100
Cookies 165000
Churros 8000
Vale 26500
Lorsani 342644
Huevos 23000
Valentin 15000
Adelanto Paula 7000
Alquiler 530000</text>
  </threadedComment>
  <threadedComment ref="H19" dT="2025-05-17T13:12:20.37" personId="{5711AAD5-2161-40DF-9A32-FD669555FEA6}" id="{D52C14D8-DDFF-4018-AFDE-9D415CA5B009}">
    <text>Sueldos 354980
Sandwiches 12750
Churros 8000
La Pana 22200
Sin gluten 27000
Andrea 63000</text>
  </threadedComment>
  <threadedComment ref="H21" dT="2025-05-17T13:14:21.55" personId="{5711AAD5-2161-40DF-9A32-FD669555FEA6}" id="{7760031C-BAA3-4005-989A-CD6638892A23}">
    <text>Adelanto Paula 55000
Fecula 135000
Sardo 26561
Lorsani 224365
Sandwiches 18450
Cangiano 78863
Churros 8000</text>
  </threadedComment>
  <threadedComment ref="H23" dT="2025-05-17T13:17:29.31" personId="{5711AAD5-2161-40DF-9A32-FD669555FEA6}" id="{F15E9B1F-EF44-43D2-A3F0-88647F68945F}">
    <text xml:space="preserve">Churros 8000
Vale 82000
Lorsani 339430
La Pana 22200
Cangiano 66832
Adelanto Lauti 50000
Adelanto Mati 50000
</text>
  </threadedComment>
  <threadedComment ref="H25" dT="2025-05-17T13:20:03.48" personId="{5711AAD5-2161-40DF-9A32-FD669555FEA6}" id="{0BE6140D-8C85-4330-8B92-FB329DEAF1F7}">
    <text>Adelanto Paula 40000
Churros 8000
Cookies sin tacc 35400
Sandwiches 15650
Sin tacc 104000
Cangiano 49912
Lorsani 177354
San Luis a mil 16000</text>
  </threadedComment>
  <threadedComment ref="H27" dT="2025-05-17T13:21:52.29" personId="{5711AAD5-2161-40DF-9A32-FD669555FEA6}" id="{01823367-69B5-4691-B4DF-763DE17E466C}">
    <text>Churros 8000
Cookies 165000
Desartables 61420
Sandwiches 11200
Angeleri 135843
Lorsani 231699
Desinfección 70000</text>
  </threadedComment>
  <threadedComment ref="H29" dT="2025-05-24T13:17:46.49" personId="{5711AAD5-2161-40DF-9A32-FD669555FEA6}" id="{D7DB2BB8-F98F-4F77-ADEB-54008696D57A}">
    <text>Churros 8000
Lorsani 511045
Sandwiches 18450
Vale 46000
La pana 32200
Cangiano 97487
Adelanto Paula 25000
Adelanto Sofi 50000</text>
  </threadedComment>
  <threadedComment ref="H31" dT="2025-05-24T13:20:34.20" personId="{5711AAD5-2161-40DF-9A32-FD669555FEA6}" id="{C0D16A8D-1760-43E8-85B9-F239FF74038B}">
    <text>Churros 8000
Vale 67000
Angeleri 136000
Afip 32266
Gas 2889
Mi proximo paso 136800
Credito caja soc 57571
Vero 15000</text>
  </threadedComment>
  <threadedComment ref="H33" dT="2025-05-24T13:21:26.52" personId="{5711AAD5-2161-40DF-9A32-FD669555FEA6}" id="{B11CFAC1-2387-4B80-9745-1778354C7315}">
    <text>Edesal mayo 429994
Churros 4000
Cookies sin tacc 39600
Cangiano 21040
La pana 32200
Vale 32100
Lorsani 278725</text>
  </threadedComment>
  <threadedComment ref="H35" dT="2025-06-02T12:16:35.44" personId="{5711AAD5-2161-40DF-9A32-FD669555FEA6}" id="{2F409798-3C7A-4D99-9DCB-84F7F5905D93}">
    <text>Churros 4000
Cookies sin tacc 39600
Cangiano 21040
La Pana 32200
Vale 32100
Lorsani 278725</text>
  </threadedComment>
  <threadedComment ref="H37" dT="2025-06-02T12:17:07.18" personId="{5711AAD5-2161-40DF-9A32-FD669555FEA6}" id="{4B9F978F-BBDE-47F1-B212-269092656942}">
    <text>Curros 8000
Angeleri 136000
Sandwiches 18450
Vale 38500
Lorsani 124922</text>
  </threadedComment>
  <threadedComment ref="H39" dT="2025-06-02T12:19:20.27" personId="{5711AAD5-2161-40DF-9A32-FD669555FEA6}" id="{515BA1DC-6139-42D3-8DEC-94960F837E62}">
    <text>Churros 8000
Lorsani 302659
Cangiano 79932
Vale 61000
Margarina 53355
Descartables 106570
Adelanto Paula 20000
Adelanto Sofi 10000</text>
  </threadedComment>
  <threadedComment ref="H41" dT="2025-06-02T12:19:56.91" personId="{5711AAD5-2161-40DF-9A32-FD669555FEA6}" id="{9480E3E9-6E2F-4173-8CE9-4E8E9E0E1C23}">
    <text>Churros 8000
Cookies 165000
La Pana 32200
Sandwiches 19850
Sin gluten 51000
Lorsani 427191</text>
  </threadedComment>
  <threadedComment ref="H43" dT="2025-06-02T12:21:45.95" personId="{5711AAD5-2161-40DF-9A32-FD669555FEA6}" id="{B70D580C-2BCC-4531-8B69-EAE3F501EE41}">
    <text>Andrea 70000
Jesus 10000
Valen 10000
Sin gluten 62500</text>
  </threadedComment>
  <threadedComment ref="H45" dT="2025-06-02T12:28:12.52" personId="{5711AAD5-2161-40DF-9A32-FD669555FEA6}" id="{F423CD77-2D29-4D73-9179-B42396181061}">
    <text xml:space="preserve">Churros 8000
Coca cola 80481
Lorsani 352038
Cangiano 83401
Angeleri 136000
</text>
  </threadedComment>
  <threadedComment ref="H47" dT="2025-06-02T12:29:51.82" personId="{5711AAD5-2161-40DF-9A32-FD669555FEA6}" id="{17416459-794A-4F0E-B903-E92EB5A2FD2A}">
    <text xml:space="preserve">Churros 8000
Llaves 24000
Sandwiches 14200
Vale 82000
La Pana 32200
Cangiano 74050
Lorsani 117669
Adelanto Matu 205000
Adelanto Paula 35000
Adelanto Sofi 40000
</text>
  </threadedComment>
  <threadedComment ref="H49" dT="2025-06-02T12:30:57.92" personId="{5711AAD5-2161-40DF-9A32-FD669555FEA6}" id="{52F1B8F8-3B0B-4ED1-80CE-5126E722529E}">
    <text>Churros 8000
Tu postre 40000
Angeleri 136000
Cangiano 57481
Lorsani 163106
Sin gluten 31500
Margarina 35600
Sal 1600</text>
  </threadedComment>
  <threadedComment ref="H51" dT="2025-06-02T12:32:09.11" personId="{5711AAD5-2161-40DF-9A32-FD669555FEA6}" id="{E57DE675-DA6E-4F3B-BDA0-A66E18E8FA56}">
    <text>Churros 8000
La Pana 23400
Cookies 165000
Descartables 77640
Sandwiches 12750
Lorsani 347587
Sin gluten 82000
Cangiano 92959</text>
  </threadedComment>
  <threadedComment ref="H53" dT="2025-06-02T12:32:49.70" personId="{5711AAD5-2161-40DF-9A32-FD669555FEA6}" id="{9DD71737-88B9-4C98-BADD-7C20C05B266F}">
    <text>Churros 8000
Lorsani 431608
Margarina 35500
Cangiano 49912
Sin gluten 40000</text>
  </threadedComment>
  <threadedComment ref="H55" dT="2025-06-02T12:33:28.80" personId="{5711AAD5-2161-40DF-9A32-FD669555FEA6}" id="{AD4FF4D5-983D-469A-B915-1AEC59DD77FC}">
    <text>Churros 8000
Vale 41800
Sandwiches 18450
Adelanto Sofi 25000
Adelanto Paula 40000
Andrea 70000</text>
  </threadedComment>
</ThreadedComments>
</file>

<file path=xl/threadedComments/threadedComment7.xml><?xml version="1.0" encoding="utf-8"?>
<ThreadedComments xmlns="http://schemas.microsoft.com/office/spreadsheetml/2018/threadedcomments" xmlns:x="http://schemas.openxmlformats.org/spreadsheetml/2006/main">
  <threadedComment ref="H3" dT="2025-06-14T13:25:30.81" personId="{5711AAD5-2161-40DF-9A32-FD669555FEA6}" id="{C555C150-5C7B-4473-841C-92859385C325}">
    <text>Churros 8000
Lorsani 248643
Cangiano 59263
La pana 34400</text>
  </threadedComment>
  <threadedComment ref="H5" dT="2025-06-14T13:26:22.88" personId="{5711AAD5-2161-40DF-9A32-FD669555FEA6}" id="{C8A81747-67E5-4152-A4CA-64E6EF14BD4D}">
    <text>Churros 8000
Valeria 80500
Cangiano 21039
Lorsani 317449
Cookies 165000
Sandwiches 13650
Fecula 136000</text>
  </threadedComment>
  <threadedComment ref="H7" dT="2025-06-14T13:27:06.51" personId="{5711AAD5-2161-40DF-9A32-FD669555FEA6}" id="{83A0550F-40C2-45CD-A985-5AD016ABE556}">
    <text>Churros 8000
Cangiano 98188
Cookies sin tacc 39600
La pana 5120
Lorsani 227877</text>
  </threadedComment>
  <threadedComment ref="H9" dT="2025-06-14T13:28:26.01" personId="{5711AAD5-2161-40DF-9A32-FD669555FEA6}" id="{2EEDB649-8ED8-4A00-8E39-0F1A3ADD7B11}">
    <text xml:space="preserve">Churros 8000
La pana 45400
Descartables 85090
Fecula 131000
Sandwiches 20800
Margarina 52673
Cangiano 97487
Lorsani 523637
Adelanto Sofi 3000
Adelanto Paula 3000
</text>
  </threadedComment>
  <threadedComment ref="H11" dT="2025-06-14T13:28:57.19" personId="{5711AAD5-2161-40DF-9A32-FD669555FEA6}" id="{5435431D-BDE9-4375-9C53-8BAF45931A91}">
    <text xml:space="preserve">Churros 8000
Vale 132500
Angeleri 131000
Aguinaldo Lauti 205275
</text>
  </threadedComment>
  <threadedComment ref="H13" dT="2025-06-14T13:50:04.64" personId="{5711AAD5-2161-40DF-9A32-FD669555FEA6}" id="{6AA07EF0-4AC2-4D8B-A8DE-CA4E110040F8}">
    <text>Churros 8000
Sanwiches 25000
Vale sin tacc 15000
Andrea 10000
Sueldos 802318 (aguinaldo lauti se puso el viernes)</text>
  </threadedComment>
  <threadedComment ref="H15" dT="2025-06-14T13:54:31.13" personId="{5711AAD5-2161-40DF-9A32-FD669555FEA6}" id="{CF7CBD4D-8C2C-4628-9D7B-ACC4E7D128F8}">
    <text>Churros 8000
Cangiano 100782
La Pana 23400
Lorsani 414845
Cookies 165000
Descartables 12900
Cookies sin tacc 39600</text>
  </threadedComment>
  <threadedComment ref="H17" dT="2025-06-14T13:55:09.58" personId="{5711AAD5-2161-40DF-9A32-FD669555FEA6}" id="{C1852DAB-ACA0-4586-B2B8-F4BCA94049F2}">
    <text>Churros 8000
Vale 74500
Cangiano 11688
Lorsani 248376
Matias 10000
Desinfección 10000
Alquiler 530000</text>
  </threadedComment>
  <threadedComment ref="H19" dT="2025-06-14T13:56:04.64" personId="{5711AAD5-2161-40DF-9A32-FD669555FEA6}" id="{A69433CE-E443-4DBD-8B77-38C948F13DBC}">
    <text>Churros 8000
Sandwiches 22000
Lorsani 125170
Cangiano 83401
Sin tacc 26500</text>
  </threadedComment>
  <threadedComment ref="H21" dT="2025-06-14T13:56:53.45" personId="{5711AAD5-2161-40DF-9A32-FD669555FEA6}" id="{2F521DDF-E40A-4426-8164-8B75DCA26C64}">
    <text>Churros 8000
Sin tacc 26500
Descartables 76420
La pana 92200
Angeleri 130100
Lorsani 207662
Adelanto Sofía 80000
Adelanto Paula 40000</text>
  </threadedComment>
  <threadedComment ref="H23" dT="2025-06-14T13:57:19.82" personId="{5711AAD5-2161-40DF-9A32-FD669555FEA6}" id="{4E0B7A6C-ABE3-499E-93F5-7CFAF264649F}">
    <text xml:space="preserve">Churros 8000
Sin gluten 46000
Sandwiches 18200
Lorsani 542006
Cangiano 90969
</text>
  </threadedComment>
  <threadedComment ref="H25" dT="2025-06-29T23:55:29.29" personId="{5711AAD5-2161-40DF-9A32-FD669555FEA6}" id="{49A8E571-3198-47A4-898C-F87295399B31}">
    <text>Churros 8000
Valeria 47500</text>
  </threadedComment>
  <threadedComment ref="H27" dT="2025-06-29T23:56:19.89" personId="{5711AAD5-2161-40DF-9A32-FD669555FEA6}" id="{BDEBA5E0-2058-4A34-88C2-458A3A0000AD}">
    <text>Sandwiches 22000
Valeria 24000
Churros 4000
Adelanto Paula 7000</text>
  </threadedComment>
  <threadedComment ref="H29" dT="2025-06-30T00:05:09.90" personId="{5711AAD5-2161-40DF-9A32-FD669555FEA6}" id="{813596C8-7D9C-4F36-8739-EF8AD9ED48DC}">
    <text>Churros 8000
Fecula 131000
Sandwiches 22000
Vale 38500
Cookies sin tacc 39600
Cookies 165000
Lorsani 228842
Adelanto Paula 45000
Adelanto Matias 20000
San Luis a 1000 16000
Gas 2846
Monotributo 32221
Mi prox paso 136800</text>
  </threadedComment>
  <threadedComment ref="H31" dT="2025-06-30T00:11:36.91" personId="{5711AAD5-2161-40DF-9A32-FD669555FEA6}" id="{E835FF0C-FFD1-476F-B538-05FE069D4027}">
    <text xml:space="preserve">Churros 8000
Grafica 16000
Lorsani 232734
Cangiano 50929
Valeria 57500
Adelanto Sofia 23000
Contadora 15000
Caja social 83522
Locker Manu 100000
Cangiano 59263
Parte 2 boleta luz 300000
</text>
  </threadedComment>
  <threadedComment ref="H33" dT="2025-06-30T00:14:07.12" personId="{5711AAD5-2161-40DF-9A32-FD669555FEA6}" id="{8A6A8ACC-81E0-4FDC-ABE3-9BACE69DF244}">
    <text xml:space="preserve">Churros 8000
La pana 22000
Descartables 58760
Cangiano 84570
Lorsani 444237
Luz 400000
</text>
  </threadedComment>
  <threadedComment ref="H35" dT="2025-06-30T00:18:24.98" personId="{5711AAD5-2161-40DF-9A32-FD669555FEA6}" id="{C931F325-1897-470B-9F62-2ABED3DDDDA9}">
    <text>Churros 8000
Vale 70000
Adelanto Pato 10000
Cookies sin tacc 45000
Vale 46000
parte 2da boleta luz 291800</text>
  </threadedComment>
  <threadedComment ref="H37" dT="2025-06-30T00:22:06.64" personId="{5711AAD5-2161-40DF-9A32-FD669555FEA6}" id="{73DBB9B3-F15B-4788-90A6-7F517950ACEF}">
    <text>Churros 8000
Andrea 88000
Sueldos 535605</text>
  </threadedComment>
  <threadedComment ref="H39" dT="2025-06-30T00:25:26.44" personId="{5711AAD5-2161-40DF-9A32-FD669555FEA6}" id="{1639E64A-73D4-4EEF-9540-8CAE8EF78693}">
    <text>Churros 8000
Sandwiches 11000
Lorsani 441168
Sal Fina 1600
Cangiano 61093
Sin gluten 38000</text>
  </threadedComment>
  <threadedComment ref="H41" dT="2025-06-30T00:29:28.96" personId="{5711AAD5-2161-40DF-9A32-FD669555FEA6}" id="{989F1ECB-39E7-46C8-9950-98357826629C}">
    <text>Churros 8000
Adelanto Sofi 50000
Sandwiches 13650
Cangiano 35412
Vale 38000
Cookies sin tacc 45000
Graficas 6500</text>
  </threadedComment>
  <threadedComment ref="H43" dT="2025-06-30T00:31:26.15" personId="{5711AAD5-2161-40DF-9A32-FD669555FEA6}" id="{9E2B6781-6D71-4F2B-A828-18B5A2C2DACD}">
    <text>Churros 8000
Lorsani 440453
Cangiano 59263
La pana 34400
Sin gluten 46000
Adelanto Matias 20000
Angeleri 131000
Cookies 165000</text>
  </threadedComment>
  <threadedComment ref="H45" dT="2025-06-30T00:35:43.03" personId="{5711AAD5-2161-40DF-9A32-FD669555FEA6}" id="{DEB1A610-744B-491F-99DC-549359AC0907}">
    <text xml:space="preserve">Churros 8000
Adelanto Paula 32000
Descartables 53480
Angeleri 131000
Vale 26500
Sandwiches 12800
Cangiano 59263
Lorsani 216204
</text>
  </threadedComment>
  <threadedComment ref="H47" dT="2025-06-30T00:38:09.97" personId="{5711AAD5-2161-40DF-9A32-FD669555FEA6}" id="{FA7C1B0F-6561-4A74-9600-F02D36656B74}">
    <text>Churros 8000
Sin gluten 82600
Cangiano 60458
Lorsani 520086
Coca cola 113000
Municipalidad 120000
Adelanto Sofia 10000
Valentina 15000</text>
  </threadedComment>
  <threadedComment ref="H49" dT="2025-06-30T00:38:54.01" personId="{5711AAD5-2161-40DF-9A32-FD669555FEA6}" id="{48B04927-B75A-4E8C-8573-CE3A34E08E94}">
    <text>Andrea 88000
Churros 8000
La pana 34400
Adelanto Paula 10000</text>
  </threadedComment>
  <threadedComment ref="H51" dT="2025-07-01T18:59:45.53" personId="{5711AAD5-2161-40DF-9A32-FD669555FEA6}" id="{19F23A88-F0D3-4752-89F3-CCE145FD605E}">
    <text>Lorsani 272792
Cangiano 68735
.Sin gluten 46000
Cookies sin tacc 60000
Adelanto Paula 15000</text>
  </threadedComment>
</ThreadedComments>
</file>

<file path=xl/threadedComments/threadedComment8.xml><?xml version="1.0" encoding="utf-8"?>
<ThreadedComments xmlns="http://schemas.microsoft.com/office/spreadsheetml/2018/threadedcomments" xmlns:x="http://schemas.openxmlformats.org/spreadsheetml/2006/main">
  <threadedComment ref="H3" dT="2025-07-04T18:22:29.54" personId="{5711AAD5-2161-40DF-9A32-FD669555FEA6}" id="{5BCFB16A-31C0-46B2-A1F3-8C7B5D819A57}">
    <text xml:space="preserve">Churros 8000
Sandwiches 18900
La Pana 34400
Sin gluten 31000
Cangiano 59263
Lorsani 214102
Adelanto Lauti 50000
Adelanto Mati 10000
Adelanto Sofi 10000
Angeleri 131000
</text>
  </threadedComment>
  <threadedComment ref="H5" dT="2025-07-04T18:24:07.93" personId="{5711AAD5-2161-40DF-9A32-FD669555FEA6}" id="{24A5525E-2A71-44BA-BE3C-933F3B25E4AA}">
    <text>Churros 8000
Lorsani 32598
Adelanto Paula 50000
Cookies 165000
Sin gluten 19500</text>
  </threadedComment>
  <threadedComment ref="H7" dT="2025-07-04T18:27:15.36" personId="{5711AAD5-2161-40DF-9A32-FD669555FEA6}" id="{8B06096C-5BFA-4260-BC66-6F6EFF79F7E4}">
    <text xml:space="preserve">Churros 8000
Cangiano 83401
Descartables 59880
Lorsani 560520
La pana 22000
</text>
  </threadedComment>
  <threadedComment ref="H9" dT="2025-07-31T11:44:02.98" personId="{5711AAD5-2161-40DF-9A32-FD669555FEA6}" id="{0E844875-1DD1-451A-96C6-8EF12B75BE68}">
    <text>Churros 8000
Sandwiches 22000
Sin gluten 115000
Angeleri 130020</text>
  </threadedComment>
  <threadedComment ref="H11" dT="2025-07-31T11:46:46.72" personId="{5711AAD5-2161-40DF-9A32-FD669555FEA6}" id="{BD15B000-DFA0-4A22-8248-AE5AC881882A}">
    <text>Churros 8000
Sin gluten 19000
Andrea 35000
Sueldos 581172</text>
  </threadedComment>
  <threadedComment ref="H13" dT="2025-07-31T11:50:10.38" personId="{5711AAD5-2161-40DF-9A32-FD669555FEA6}" id="{8B73991D-37AB-413C-9F8B-5B228E137E80}">
    <text xml:space="preserve">Lorsani 200870
Sin tacc 71500
La Pana 45500
Cangiano 74050
Adelanto Lautaro 100000
</text>
  </threadedComment>
  <threadedComment ref="H15" dT="2025-07-31T11:55:04.90" personId="{5711AAD5-2161-40DF-9A32-FD669555FEA6}" id="{9A72A278-D807-44C7-A75E-EE95400FEECD}">
    <text>Cookies 165000
Lorsani 214960
Cangiano 65855
Alquiler 530000
Cookies sin tacc 57500</text>
  </threadedComment>
  <threadedComment ref="H17" dT="2025-07-31T11:57:17.30" personId="{5711AAD5-2161-40DF-9A32-FD669555FEA6}" id="{3FF7CED9-DC6E-4C23-B233-1CCBD60B14DD}">
    <text xml:space="preserve">Churros 9000
Adelanto Paula 110000
Adelanto Sofi 37000+23000
Adelanto Pato 80000
</text>
  </threadedComment>
  <threadedComment ref="H19" dT="2025-07-31T11:59:55.88" personId="{5711AAD5-2161-40DF-9A32-FD669555FEA6}" id="{9B8B80E3-EB7D-4455-A564-1B1A1FB8DB2B}">
    <text xml:space="preserve">Churros 9000
Lorsani 229428
Desacartables 33350
Sandwiches 22200
La pana 23400
Agua Dispenser 8200
</text>
  </threadedComment>
  <threadedComment ref="H21" dT="2025-07-31T12:03:04.35" personId="{5711AAD5-2161-40DF-9A32-FD669555FEA6}" id="{5F3E0A9A-AF7C-4760-882D-F58605834A06}">
    <text xml:space="preserve">Churros 9000
Sin tacc 115000
Cangiano 67430
Adenalto Paula 40000
Lorsani 294306
</text>
  </threadedComment>
  <threadedComment ref="H23" dT="2025-07-31T12:04:39.11" personId="{5711AAD5-2161-40DF-9A32-FD669555FEA6}" id="{68DF57F2-2AC3-40F8-9F0E-3E4175F5E924}">
    <text>Churros 45000
Adelanto Sofi 20000
Adelanto Mati 50000</text>
  </threadedComment>
  <threadedComment ref="H25" dT="2025-07-31T12:06:38.90" personId="{5711AAD5-2161-40DF-9A32-FD669555FEA6}" id="{47AE0A05-2126-434A-835D-73AB36200A82}">
    <text>Churros 9000
Lorsani 521578
Cangiano 90969
Sandwiches 15800
Adelanto Pato 10000
Adelanto Paula 20000
Adelanto Sofi 35000</text>
  </threadedComment>
  <threadedComment ref="H27" dT="2025-07-31T12:09:42.66" personId="{5711AAD5-2161-40DF-9A32-FD669555FEA6}" id="{9ABCF491-24B9-4A88-9898-18660C8B7523}">
    <text>Churros 9000
Sin tacc 94000
Cookies sin tacc 60000
Cookies 165000
Adelanto Sofia 20000</text>
  </threadedComment>
  <threadedComment ref="H29" dT="2025-07-31T12:23:55.28" personId="{5711AAD5-2161-40DF-9A32-FD669555FEA6}" id="{25DC03DF-D983-46F8-8AF7-88E0B6D92B8D}">
    <text>Churros 9000
Angeleri 133000
Lorsani 269262
Cangiano 63183</text>
  </threadedComment>
  <threadedComment ref="H31" dT="2025-07-31T12:20:15.62" personId="{5711AAD5-2161-40DF-9A32-FD669555FEA6}" id="{5DDCB6BF-0490-46CF-BCFC-608190D45EDF}">
    <text>Churros 9000
Cangiano 59786
Lorsani 458426
Sin tacc 26500
Angeleri 140000
Descartables 59860</text>
  </threadedComment>
  <threadedComment ref="H33" dT="2025-07-31T12:23:22.06" personId="{5711AAD5-2161-40DF-9A32-FD669555FEA6}" id="{5E51FE5D-45EC-41EE-9FD9-46D01AB2F0DD}">
    <text>Churros 9000
La Pana 34400
Adelanto Sofia 10000
Valentina 25000
Andrea 32800</text>
  </threadedComment>
  <threadedComment ref="H35" dT="2025-07-31T12:39:07.06" personId="{5711AAD5-2161-40DF-9A32-FD669555FEA6}" id="{594DB9B6-3A73-4C72-A612-EAE52A571BCB}">
    <text xml:space="preserve">Churros 4500
Sueldos 400014
</text>
  </threadedComment>
  <threadedComment ref="H37" dT="2025-07-31T12:39:19.77" personId="{5711AAD5-2161-40DF-9A32-FD669555FEA6}" id="{26182F8A-F3EE-461B-A23E-B94BDCD6099F}">
    <text xml:space="preserve">Churros 9000
Sandwiches 16650
Adelanto Paula 30000
Adelanto Sofia 80000
Cookies sin tacc 60000
</text>
  </threadedComment>
  <threadedComment ref="H39" dT="2025-07-31T12:40:32.26" personId="{5711AAD5-2161-40DF-9A32-FD669555FEA6}" id="{2DE754AB-A229-4167-A842-3A75776EE44C}">
    <text>Churros 9000
Cookies 150600
Lorsani 215925
Cangiano 83401
Adelanto Pato 30400</text>
  </threadedComment>
  <threadedComment ref="H41" dT="2025-07-31T12:41:55.77" personId="{5711AAD5-2161-40DF-9A32-FD669555FEA6}" id="{8BAD9192-C9DD-4723-9DF1-330E26478349}">
    <text>Churros 4500
Lorsani 220338
Sin gluten 74500
Angeleri 139000
Adelanto Mati 80000</text>
  </threadedComment>
  <threadedComment ref="H43" dT="2025-07-31T12:42:44.40" personId="{5711AAD5-2161-40DF-9A32-FD669555FEA6}" id="{AE5FB0FD-7980-4F50-A89D-B25CA7DED53D}">
    <text xml:space="preserve">Churros 4500
Sin gluten 38500
Adelanto Sofia 40000
Adelanto Pato 10000
</text>
  </threadedComment>
  <threadedComment ref="H45" dT="2025-07-31T12:44:45.01" personId="{5711AAD5-2161-40DF-9A32-FD669555FEA6}" id="{F3F1F39C-4964-45D4-B10A-69A89589BB24}">
    <text xml:space="preserve">Adelanto Lautaro 10000
Cangiano 66831
Lorsani 235618
</text>
  </threadedComment>
  <threadedComment ref="H47" dT="2025-07-31T12:45:28.41" personId="{5711AAD5-2161-40DF-9A32-FD669555FEA6}" id="{1E20BBF3-C2B4-40ED-9DEC-4D1C354F636B}">
    <text>Adelanto Paula 20000
Sin gluten 26500
Adelanto Sofia 15000</text>
  </threadedComment>
  <threadedComment ref="H49" dT="2025-07-31T12:46:24.88" personId="{5711AAD5-2161-40DF-9A32-FD669555FEA6}" id="{62BDAA1C-C497-47EB-AE2C-0E6A3004E463}">
    <text>Sandwiches 24100
Sin gluten 71500
Lorsani 240900
Cangiano 82130
Adelanto Paula 30000</text>
  </threadedComment>
  <threadedComment ref="H51" dT="2025-07-31T12:47:23.64" personId="{5711AAD5-2161-40DF-9A32-FD669555FEA6}" id="{C3E701A9-DC03-42BA-8705-6C0A1B19937A}">
    <text xml:space="preserve">Lorsani 233308
Cangiano 59263
Sin gluten 38500
Cookies 160800
</text>
  </threadedComment>
  <threadedComment ref="H53" dT="2025-07-31T12:48:24.67" personId="{5711AAD5-2161-40DF-9A32-FD669555FEA6}" id="{263CE79A-2737-4716-B409-1ED1405B2231}">
    <text>Lorsani 215503
La Pana 34400
Churros 4500</text>
  </threadedComment>
  <threadedComment ref="H55" dT="2025-08-01T15:16:22.73" personId="{5711AAD5-2161-40DF-9A32-FD669555FEA6}" id="{F85CB97E-22CF-4BD9-90E0-21CB6FEB34DD}">
    <text>Churros 4500
Descartables 85110
Cangiano 59263
Vale 75500
Lorsani 164762
Cookies sin tacc 57500
Adelanto Paula 50000</text>
  </threadedComment>
</ThreadedComments>
</file>

<file path=xl/threadedComments/threadedComment9.xml><?xml version="1.0" encoding="utf-8"?>
<ThreadedComments xmlns="http://schemas.microsoft.com/office/spreadsheetml/2018/threadedcomments" xmlns:x="http://schemas.openxmlformats.org/spreadsheetml/2006/main">
  <threadedComment ref="H3" dT="2025-08-05T01:00:36.54" personId="{5711AAD5-2161-40DF-9A32-FD669555FEA6}" id="{79A87070-90D5-4C67-B90C-CFBD4F781604}">
    <text>Churros 4500
Valen sin tacc 32500
Sandwiches 13800
Lorsani 242518
Angeleri 139000
La Pana 11000
Monotributo 70000
Gas 6352
San Luis a mil 40000
Vero 15000</text>
  </threadedComment>
  <threadedComment ref="H5" dT="2025-08-05T01:02:17.51" personId="{5711AAD5-2161-40DF-9A32-FD669555FEA6}" id="{F792C1D3-1162-468A-9180-406D85FFBD0D}">
    <text xml:space="preserve">Churros 4500
Locker 66000
Sueldos 519175
</text>
  </threadedComment>
  <threadedComment ref="H7" dT="2025-08-05T01:03:45.80" personId="{5711AAD5-2161-40DF-9A32-FD669555FEA6}" id="{C90300B2-4DD1-4CAE-9BEC-2AC5D6796FCA}">
    <text>Churros 9000
Sandwiches 98900
Cangiano 80283
Lorsani 317899
Sin tacc 38500
Luz 542000</text>
  </threadedComment>
  <threadedComment ref="H9" dT="2025-08-09T12:36:59.25" personId="{5711AAD5-2161-40DF-9A32-FD669555FEA6}" id="{0808AF84-49C8-4429-9B28-82771AE00B06}">
    <text xml:space="preserve">Churros 9000
Lorsani 240529
Vale 74500
Cookies sin tacc 60000
Cangiano 38223
La pana 34400
Adelanto Paula 30000
Adelanto Sofi 5000
</text>
  </threadedComment>
  <threadedComment ref="H11" dT="2025-08-09T12:38:14.34" personId="{5711AAD5-2161-40DF-9A32-FD669555FEA6}" id="{1B3518AD-1FB4-436F-ABEB-AC913FE1A314}">
    <text>Churros 9000
Lorsani 260063
Vale 38500
Angeleri 139000
Cangiano 21039
Sandwiches 9800
Cookies 171600</text>
  </threadedComment>
  <threadedComment ref="H13" dT="2025-08-09T12:39:38.45" personId="{5711AAD5-2161-40DF-9A32-FD669555FEA6}" id="{5428A18E-7058-4269-998E-68ADEC43D983}">
    <text>Churros 9000
Descartables 69680
Vale 38500
Cangiano 60221
Lorsani 147841
Adelanto Sofi 80000
ALQUILER 630000</text>
  </threadedComment>
  <threadedComment ref="H15" dT="2025-08-09T12:41:44.99" personId="{5711AAD5-2161-40DF-9A32-FD669555FEA6}" id="{6E741E25-7390-4ED4-9C9B-092893733A79}">
    <text>Churros 9000
Vale 38500
Lorsani 416566
Cangiano 59263
Sandwiches 17700
La Pana 23400
Adelanto Matias 70000
Crédito tu prox paso 275000
Crédito caja social 107000
Valentina 15000
Andrea 20500
Coca Cola 95450</text>
  </threadedComment>
</ThreadedComments>
</file>

<file path=xl/threadedComments/threadedComment10.xml><?xml version="1.0" encoding="utf-8"?>
<ThreadedComments xmlns="http://schemas.microsoft.com/office/spreadsheetml/2018/threadedcomments" xmlns:x="http://schemas.openxmlformats.org/spreadsheetml/2006/main">
  <threadedComment ref="H3" dT="2025-09-11T18:48:35.00" personId="{5711AAD5-2161-40DF-9A32-FD669555FEA6}" id="{9C795CDC-549D-4DDC-8B19-1CC199BF83CD}">
    <text>- Churros $18.000
- Vale $135.100
- Cangiano $60.243
- Lorsani $277.508
- Adelanto Sofi $60.000
- Adelanto Mati $50.000
- La Pana $45.400</text>
  </threadedComment>
  <threadedComment ref="H5" dT="2025-09-11T18:50:26.00" personId="{5711AAD5-2161-40DF-9A32-FD669555FEA6}" id="{C0DCBEAD-6DCC-4D43-A52C-2A964E6E50FE}">
    <text>- Churros $9.000
- Lorsani $195.361
- Margarina $ 19.400
- Fécula $140.000
- Adelanto Paula $45.000
- Adelanto Lautaro $40.000
- Cookies sin tacc $60.000
Vale sin gluten $26.500</text>
  </threadedComment>
  <threadedComment ref="H7" dT="2025-09-11T18:51:04.10" personId="{5711AAD5-2161-40DF-9A32-FD669555FEA6}" id="{C8DF762E-201A-4283-9CEF-3435E4CE6216}">
    <text>- Churros $9.000
- Sandwiches $16.200
- Cangiano $72051
- Vale $28.500
- Lorsani $88.165
- Adelanto Sofi $15.000</text>
  </threadedComment>
  <threadedComment ref="H9" dT="2025-09-11T18:52:05.03" personId="{5711AAD5-2161-40DF-9A32-FD669555FEA6}" id="{BF56E6B0-2B09-4B79-BAD1-33BD7D9E4B73}">
    <text>GASTOS DE JUEVES:
- Churros $9.000
- Lorsani $510.140
- Cangiano $60.243
- Descartables $42.370
- Vale $51.500</text>
  </threadedComment>
  <threadedComment ref="H11" dT="2025-09-11T18:52:48.44" personId="{5711AAD5-2161-40DF-9A32-FD669555FEA6}" id="{CCC7030A-1577-4233-9DBE-F06C4D7EE539}">
    <text>GASTOS DE VIERNES:
- Churros $9.000
- Vale $55.000
- Sandwiches $14.700
- Cookies $264.900
- Cangiano $27.605
- Adelanto Sofia $10.000
- Adelanto Mati $30.000</text>
  </threadedComment>
  <threadedComment ref="H13" dT="2025-09-11T18:53:20.18" personId="{5711AAD5-2161-40DF-9A32-FD669555FEA6}" id="{21346D06-D91A-4561-BDC0-3CF1298D6A8D}">
    <text>GASTOS DE SÁBADO
- Churros $9.000
- Adelanto Sofia $35.000
- Adelanto Paula $135.000
GASTOS DEL DOMINGO
Gas $4026
Seguro de responsabilidad civil $18.103
Wi fi $19.500
Crédito tu próximo paso $137.000
Monotributo $37124</text>
  </threadedComment>
  <threadedComment ref="H15" dT="2025-09-11T18:55:12.44" personId="{5711AAD5-2161-40DF-9A32-FD669555FEA6}" id="{72E461EC-53DD-4EB6-9457-086B471CC53E}">
    <text>GASTOS DE LUNES:
- La Pana $51.400
- Cangiano $80.280
- Lorsani $338.298
- Adelanto Lautaro $40.000
- Adelanto Pato $20.000</text>
  </threadedComment>
  <threadedComment ref="H17" dT="2025-09-11T18:56:21.15" personId="{5711AAD5-2161-40DF-9A32-FD669555FEA6}" id="{6CB02FED-CFC4-4C76-8033-F919B130D86E}">
    <text>GASTOS MARTES:
- Churros $9.000
- Sandwiches $17.700
- Lorsani $353.524
- Andrea $18.000
- Ingresos Brutos $57.244
- Alquiler $630.000
- Honorarios Vero $15.000
- Impuesto al comercio SIGEM $15.400
- Cangiano $60.243</text>
  </threadedComment>
  <threadedComment ref="H19" dT="2025-09-11T18:57:49.91" personId="{5711AAD5-2161-40DF-9A32-FD669555FEA6}" id="{7F8310D6-D294-48C6-A8C9-6EA01A514141}">
    <text xml:space="preserve">GASTOS DE MIERCOLES:
- Churros $9.000
- Lorsani $240.977
- Adelanto Lautaro $25.000
- Angeleri $147.920
- Vale $74.500
- Adelanto Pato $160.000
- Adelanto Sofi $30.000
- Jarra lechera para cafetera $24000
</text>
  </threadedComment>
  <threadedComment ref="H21" dT="2025-09-16T13:42:49.67" personId="{5711AAD5-2161-40DF-9A32-FD669555FEA6}" id="{C9ADEE43-662F-4F47-A257-D520601BF110}">
    <text>GASTOS JUEVES:
- Cangiano $66.207
- Lorsani $334.436
- Churros $9.000
- Angeleri $147.920
- Vale $38.500
- Cookies sin tacc $60.000
- Descartables $104.690
- Adelanto Paula $15.000</text>
  </threadedComment>
  <threadedComment ref="H23" dT="2025-09-16T13:43:04.06" personId="{5711AAD5-2161-40DF-9A32-FD669555FEA6}" id="{A1FE4799-5BB9-49B4-BC1C-9053CDCBB498}">
    <text>GASTOS DE VIERNES:
- Churros $9.000
- Cookies $255.900
- La Pana $51.400
- Cangiano $39.204
- Lorsani $27.651
- Vale $98.500</text>
  </threadedComment>
  <threadedComment ref="H25" dT="2025-09-16T13:43:23.14" personId="{5711AAD5-2161-40DF-9A32-FD669555FEA6}" id="{4D5A3D29-FFAC-45F4-816A-073A8333E701}">
    <text>GASTOS SABADO:
- Churros $4.500
- Ana $22.000
- Sueldos $381188</text>
  </threadedComment>
  <threadedComment ref="H27" dT="2025-09-16T13:43:59.60" personId="{5711AAD5-2161-40DF-9A32-FD669555FEA6}" id="{C15A4C89-E5E7-41EF-8901-468762F2993A}">
    <text>GASTOS DE LUNES:
Churros $9.000
Sandwiches $12.600
Lorsani $281.632
Vale sin tacc $41.500
Adelanto Pato $20000
Adelanto y aguinaldo Mati $330000</text>
  </threadedComment>
  <threadedComment ref="H29" dT="2025-09-24T12:34:07.13" personId="{5711AAD5-2161-40DF-9A32-FD669555FEA6}" id="{A3C0A90F-F9CD-4E64-88AF-1211CE1D3726}">
    <text xml:space="preserve">GASTOS DE MARTES:
- Churros $9.000
- Sandwiches $13.000
- Vale $19.000
- Cangiano $68.498
- Lorsani $256.356
- Cookies sin tacc $90.000
- Andrea $8.000
</text>
  </threadedComment>
  <threadedComment ref="H31" dT="2025-09-24T12:34:42.66" personId="{5711AAD5-2161-40DF-9A32-FD669555FEA6}" id="{8FED145B-665E-417D-8B9C-D6F1D8E16C36}">
    <text>GASTOS DE MIERCOLES:
Churros $9.000
Sandwiches $9600
Lorsani $253.502,89
Cangiano: $59.240,51</text>
  </threadedComment>
  <threadedComment ref="H33" dT="2025-09-24T12:35:59.66" personId="{5711AAD5-2161-40DF-9A32-FD669555FEA6}" id="{4C51B3CD-DEF4-4B88-B340-D29B26A8BE53}">
    <text>GASTOS DE JUEVES:
Churros $9.000
Valeria: $73.000
Lorsani $203.666,07
Cangiano: $21.039,48
Descartables: $72.240
Fécula: $295.857,54 (pago efectivo)
Pana budínes: $23400
Adelanto Sofia $30.000
Adelanto Paula $80.000</text>
  </threadedComment>
  <threadedComment ref="H35" dT="2025-09-24T12:37:22.68" personId="{5711AAD5-2161-40DF-9A32-FD669555FEA6}" id="{2E4BEEEF-80EA-4058-83DD-5739B37DF788}">
    <text>GASTOS DE VIERNES
Churros $9.000
Sándwichs: $ 11400
Lorsani $191572
Cangiano: $39204
Cookies ohmy: $268100
Vale $46.000
Solgraf $27.200
Adelanto Pato $15.000
Adelanto Lauti $30.000</text>
  </threadedComment>
  <threadedComment ref="H37" dT="2025-09-24T12:37:53.86" personId="{5711AAD5-2161-40DF-9A32-FD669555FEA6}" id="{57EA0D94-51B0-499C-A8D7-55C885355B31}">
    <text>GASTOS DE SABADO
- Churros $4.500
- Adelanto Sofia $50.000</text>
  </threadedComment>
  <threadedComment ref="H39" dT="2025-09-24T12:38:28.10" personId="{5711AAD5-2161-40DF-9A32-FD669555FEA6}" id="{CAA0D15E-FA99-49C8-AD49-0D5FE6A23746}">
    <text>GASTOS DE LUNES
Churros $9.000
Sándwichs: $ 12.600
Lorsani: $174.815,45
Cangiano:  $21.039,48</text>
  </threadedComment>
  <threadedComment ref="H41" dT="2025-09-24T12:39:59.46" personId="{5711AAD5-2161-40DF-9A32-FD669555FEA6}" id="{9D583F36-5AC8-403D-B8AA-BFB3AACC4722}">
    <text>GASTOS DE MARTES:
- Lorsani: $330.575
- Valeria sin tacc: $38.500
- Cangiano $70.061
- Adelanto Sofia $30.000
- Adelanto Paula $85.000</text>
  </threadedComment>
  <threadedComment ref="H43" dT="2025-09-29T13:12:00.87" personId="{5711AAD5-2161-40DF-9A32-FD669555FEA6}" id="{38EE5ECB-4076-4D62-B0FE-408EE5176E85}">
    <text>GASTOS DE MIÉRCOLES:
- Churros $9.000
- Ailin $87.500
- Cangiano $64.600
- Lorsani $21.303
- Adelanto Lau:  $25.000
- Adelanto Sofi : $15.000</text>
  </threadedComment>
  <threadedComment ref="H45" dT="2025-09-29T13:12:08.42" personId="{5711AAD5-2161-40DF-9A32-FD669555FEA6}" id="{24974FFF-82F0-4BFF-A888-E7C7C59AB810}">
    <text>GASTOS DE JUEVES:
- Churros $9.000
- Valeria s.t $65.500
- sandwichs $21900
- Lorsani $331.615
- Descartables $67.880
- Adelanto Matias $10.000</text>
  </threadedComment>
  <threadedComment ref="H47" dT="2025-09-29T13:12:23.99" personId="{5711AAD5-2161-40DF-9A32-FD669555FEA6}" id="{670A7D9D-DE51-41CF-A35B-B0400998601C}">
    <text>GASTOS DIA VIERNES
- Lorsani $267.844,07
- Cangiano $67.746,51
- Churros $9.000
- Valeria s.t $58.000
- cookies omc $300.100
- Adelanto Sofia $10.000</text>
  </threadedComment>
  <threadedComment ref="H49" dT="2025-09-29T13:12:43.99" personId="{5711AAD5-2161-40DF-9A32-FD669555FEA6}" id="{D7EFB7FF-A148-4C15-B7C6-BF107C852AD8}">
    <text>GASTOS DE SÁBADO:
- Churros $4500
- Sueldos $528000</text>
  </threadedComment>
  <threadedComment ref="H53" dT="2025-10-03T14:35:05.95" personId="{5711AAD5-2161-40DF-9A32-FD669555FEA6}" id="{FDF9765D-517F-43AA-839D-E2688896317E}">
    <text xml:space="preserve">GASTOS DIA MARTES
- LORSANI $197.075,62
- CANGIANO $80.279,99
- SANDWICH $18.600
- CHURROS $9.000
- FÉCULA $147.929
- ADELANTO SOFI $60.000
- LUZ $ 480.000 ($200000 se pusieron el viernes a la tarde)
</text>
  </threadedComment>
</ThreadedComments>
</file>

<file path=xl/threadedComments/threadedComment11.xml><?xml version="1.0" encoding="utf-8"?>
<ThreadedComments xmlns="http://schemas.microsoft.com/office/spreadsheetml/2018/threadedcomments" xmlns:x="http://schemas.openxmlformats.org/spreadsheetml/2006/main">
  <threadedComment ref="H3" dT="2025-10-09T13:26:37.25" personId="{5711AAD5-2161-40DF-9A32-FD669555FEA6}" id="{6DCC5DAA-A7FB-4B2B-9954-65C075A59EB4}">
    <text>GASTOS DE MIÉRCOLES:
- Churros $9.000
- Lorsani $298.448
- Vale sin gluten $71.100
- Cookies sin tacc $87.500
- Chaboux $65.000
- Adelanto Pauli $10.000
- Andrea $10.000</text>
  </threadedComment>
  <threadedComment ref="H5" dT="2025-10-09T13:26:56.25" personId="{5711AAD5-2161-40DF-9A32-FD669555FEA6}" id="{05E6F3B4-CE4F-4692-8A54-73616EB77A6A}">
    <text>GASTOS DE JUEVES:
- Churros $10.000
- Lorsani $283.568
- ⁠Cangiano $68.084,28
- Descartables $55.140
- pana $37.400
- gráfica $15.100
- Adelanto Sofi $80.000 (para la prox quincena)
- Andrea $8.000
- Fecula $296.000</text>
  </threadedComment>
  <threadedComment ref="H7" dT="2025-10-09T13:28:12.26" personId="{5711AAD5-2161-40DF-9A32-FD669555FEA6}" id="{BA1A4E51-3E84-4D4E-B8CC-BA23DCCF45B3}">
    <text>GASTOS DIA VIERNES
- LORSANI $242.459,7
- churros $10.000
- sandwichs $21.300
- Cangiano $43.124,40
- Adelanto Aguinaldo Pato $218.250</text>
  </threadedComment>
  <threadedComment ref="H9" dT="2025-10-09T13:29:59.34" personId="{5711AAD5-2161-40DF-9A32-FD669555FEA6}" id="{D857A3FC-C79F-4EDB-AD04-4AB01F234CC1}">
    <text>GASTOS DE SÁBADO:
- Churros $4.500
- Adelanto Sofia $25.000
- Adelanto $20.000
- Ana $8.000
- Desinfección $26.000</text>
  </threadedComment>
  <threadedComment ref="H11" dT="2025-10-09T13:30:21.01" personId="{5711AAD5-2161-40DF-9A32-FD669555FEA6}" id="{C073FEAE-E80E-44D5-993D-E52B48BD8C51}">
    <text>GASTOS DE LUNES:
- Lorsani $298.953
- Churros $10.000
- Sandwich $13.500
- Vale sin tacc $38.500
- Cangiano $74353
- Adelanto Pato $1717
- Adelanto Sofi $3941</text>
  </threadedComment>
  <threadedComment ref="H13" dT="2025-10-09T13:33:26.10" personId="{5711AAD5-2161-40DF-9A32-FD669555FEA6}" id="{99B3B63C-800F-416C-BCB8-0FBB25FF36B6}">
    <text>GASTOS DIA MARTES 
- Lorsani $156.262,49
- Churros $10.000
- Gastos Municipales $40.000
- Cookies Gio $305.10
- La Pana $37.400
- Cookies sin tacc $90.000</text>
  </threadedComment>
  <threadedComment ref="H15" dT="2025-10-09T13:33:34.29" personId="{5711AAD5-2161-40DF-9A32-FD669555FEA6}" id="{8734CB29-94E7-4713-968C-71B52C316377}">
    <text>GASTOS DIA MIÉRCOLES 
- LORSANI $180.179,73
- Sandwichs $16.900
- Churros $10.000
- Cangiano $91.660,04
- angeleri $295.856
- Adelanto Sofi $5.000</text>
  </threadedComment>
  <threadedComment ref="H17" dT="2025-10-16T15:31:34.62" personId="{5711AAD5-2161-40DF-9A32-FD669555FEA6}" id="{FD5AFE1A-A001-461C-AFBD-8E41C887AAB8}">
    <text>GASTOS DIA JUEVES 
- Lorsani $325.514,49
- Churros $10.000
- Descsetables $42320
- Vale sin tacc $53.500
- Bebidas $123.500
- Adelanto Matias $30.000
- Adelanto Paula $160.000
- Adelanto Sofi $5.000</text>
  </threadedComment>
  <threadedComment ref="H21" dT="2025-10-16T15:37:05.84" personId="{5711AAD5-2161-40DF-9A32-FD669555FEA6}" id="{12323930-3F9D-4825-B2B2-EEA8DB48D154}">
    <text>-Curros 5000
- Sueldos Paula, Sofi y Mati 343966</text>
  </threadedComment>
  <threadedComment ref="H23" dT="2025-10-16T15:37:24.86" personId="{5711AAD5-2161-40DF-9A32-FD669555FEA6}" id="{35FE1BCA-8C6A-433D-A3BF-D3F5173B87B9}">
    <text>GASTOS DE LUNES:
- Churros $10.000
- Lorsani $305.689
- Sándwiches $18.600
- Cangiano $68.716
- Sellado defensa al consumidor $6.800
- Adelanto Sofia $50.000
- Vidrio $109.000</text>
  </threadedComment>
  <threadedComment ref="H25" dT="2025-10-16T15:40:43.04" personId="{5711AAD5-2161-40DF-9A32-FD669555FEA6}" id="{ABC5B363-809D-40C7-8F02-786058961935}">
    <text>GASTOS MARTES 
* Lorsani: $324.561,84
* Vale sin tacc: $65.700
* Churros: $10.000
* Cangiano: $43.124,40
- Adelanto Mati $70.000
- Adelanto Pauli $26.000</text>
  </threadedComment>
  <threadedComment ref="H27" dT="2025-10-20T14:37:03.26" personId="{5711AAD5-2161-40DF-9A32-FD669555FEA6}" id="{1EF09BB6-7B8A-4AE6-9B09-C7F8C6055CC7}">
    <text>GASTOS DIS MIÉRCOLES 
- Lorsani $302.730,15
- Churros $10.000
- Cangiano $21.039,48
- Sandwiches $18.600
- Cookies sin tacc $90.000</text>
  </threadedComment>
  <threadedComment ref="H29" dT="2025-10-20T14:38:07.90" personId="{5711AAD5-2161-40DF-9A32-FD669555FEA6}" id="{EECA3873-038D-457F-859C-6B103F6008D4}">
    <text>GASTOS DIA JUEVES 
- Lorsani $170,669.82
- Churros $7500
- Pana $37.400
- Cangiano $44.894.03
- Descartables $59.100
- Adelanto Paula $50.000</text>
  </threadedComment>
  <threadedComment ref="H31" dT="2025-10-20T14:39:19.81" personId="{5711AAD5-2161-40DF-9A32-FD669555FEA6}" id="{122407AC-B6EB-48B5-9C6F-32D305F48F4F}">
    <text>GASTOS DIA VIERNES
- Lorsani $171,182.88
- Churros $10,000
- Cangiano $46,972.93
- Sandwiches $14,100
- Valeria sin tacc $82.000
- San Luis a mil $19.500
- Gas $3.950
- Arca $49.500
- Vero $15.000
- Cookie Gio $306.500
- Adelanto Lauti $30.000
- Andrea $32.000</text>
  </threadedComment>
  <threadedComment ref="H33" dT="2025-10-20T14:39:41.77" personId="{5711AAD5-2161-40DF-9A32-FD669555FEA6}" id="{F2C172FF-B44E-42B3-98F3-078151CD18AF}">
    <text>GASTOS DE SABADO:
- Adelanto Paula $35.000
- Churros $5.000</text>
  </threadedComment>
  <threadedComment ref="H35" dT="2025-10-24T11:36:56.85" personId="{5711AAD5-2161-40DF-9A32-FD669555FEA6}" id="{AA337846-106D-4AB0-9E28-AF2244BC477E}">
    <text>GASTOS DIA LUNES:
• churros $10,000
• Sandwichs $10,000
- Lorsani $278.402,61
- Cangiano $43.124,40
- Vale $40.500</text>
  </threadedComment>
  <threadedComment ref="H37" dT="2025-10-24T11:37:29.86" personId="{5711AAD5-2161-40DF-9A32-FD669555FEA6}" id="{DECEC5B4-035C-4497-AFA0-6C194AD155E4}">
    <text>GASTOS DIA MARTES
- Lorsani $206.770,29
- Cangiano $66.565,13
- Churros $5000
- Sandwichs $15,600</text>
  </threadedComment>
  <threadedComment ref="H39" dT="2025-10-24T11:38:17.49" personId="{5711AAD5-2161-40DF-9A32-FD669555FEA6}" id="{0C838C30-7B10-4CF2-83A6-28B1D32D8625}">
    <text>GASTOS DIA MIERCOLES
- Sandwichs $13,800
- Lorsani $191.286,19
- Churros $5.000
- Vale $75.000
- Adelanto Paula $75.000</text>
  </threadedComment>
  <threadedComment ref="H41" dT="2025-10-24T11:40:04.73" personId="{5711AAD5-2161-40DF-9A32-FD669555FEA6}" id="{EB5DE79D-5ADC-4356-A7C9-31292C669ADF}">
    <text>GASTOS DIA JUEVES 
- LORSANI $195,279.45
- CHURROS $5.000
- CANGIANO $64.163,88
- DESCARTABLES $64.370
- COOKIES $90.000
- ADELANTO PATO $10.000
- ADELANTO SOFIA $5.000
- FECULA $280.000</text>
  </threadedComment>
  <threadedComment ref="H43" dT="2025-10-27T13:59:03.81" personId="{5711AAD5-2161-40DF-9A32-FD669555FEA6}" id="{12D34F2F-B5CF-4212-B9AD-77A02F96654C}">
    <text>GASTOS DIA VIERNES 
- CANGIANO $43.756.02
- LORSANI $255.428,51
- Oh my cookie $169.400
- Sándwiches $9,800
- Pana $37,400
- Sueldo Paula $39,071
- Sueldo Sofi $69,200
- Vale $20,500</text>
  </threadedComment>
  <threadedComment ref="H45" dT="2025-10-31T21:36:58.69" personId="{5711AAD5-2161-40DF-9A32-FD669555FEA6}" id="{C12434DA-17BD-4C8F-A0C1-B9361F0B5AF6}">
    <text>GASTOS SÁBADO:
- Churros $5.000
- Sueldos Matias, Lautaro y Pato</text>
  </threadedComment>
  <threadedComment ref="H47" dT="2025-10-31T21:38:11.86" personId="{5711AAD5-2161-40DF-9A32-FD669555FEA6}" id="{20415E06-5168-4BFD-BE1A-A42AE2DF0132}">
    <text>GASTOS LUNES
* Churros: $10.000
* CANGIANO $30.649,91
* Lorsani $217.220,92
* Sándwich $17.600
* Vale $69.000
* Gráfica $13.000
* Deudores alimentarios morosos $2.700
* Luz $443.241,40
* Rentas Crédito $138.000</text>
  </threadedComment>
  <threadedComment ref="H49" dT="2025-10-31T21:39:14.70" personId="{5711AAD5-2161-40DF-9A32-FD669555FEA6}" id="{E3559000-23A1-4D6D-930D-04C01F3533A5}">
    <text>GASTOS MARTES:
- Churros $10.000
- Valeria $58.000
- Margarina $20.800
- Cangiano $59.240,51
- Ingresos Brutos $223.000
- Lorsani $330.093
- Ailin $60.000</text>
  </threadedComment>
  <threadedComment ref="H51" dT="2025-10-31T21:40:15.85" personId="{5711AAD5-2161-40DF-9A32-FD669555FEA6}" id="{65ADD9A0-D41E-4FD7-96DD-312307E7FB28}">
    <text>GASTOS MIERCOLES:
- Valeria $81.000
- Lorsani $233.348,36
- Churros $10.000
- Cangiano $70.017
- La Pana $37.400
- Adelanto Paula $30.000
- Solgraf $12.200</text>
  </threadedComment>
  <threadedComment ref="H53" dT="2025-10-31T21:40:58.33" personId="{5711AAD5-2161-40DF-9A32-FD669555FEA6}" id="{A21F6821-DB87-4DB4-9687-04C2FAFFA8C1}">
    <text>GASTOS DIA JUEVES
- Lorsani $243.143,23
- Churros $5.000
- Descartables $99.600
- Adelanto Sofia $75.000
- Vale sin tacc $68.500</text>
  </threadedComment>
  <threadedComment ref="H55" dT="2025-11-03T11:58:00.47" personId="{5711AAD5-2161-40DF-9A32-FD669555FEA6}" id="{C89A9697-D2E4-421B-A14C-2C6864D65889}">
    <text>GASTOS DIA VIERNES 
- LORSANI $141,623.42
- churros $5,000
- Cangiano $94.386,41
- ohmycookie $191,000
- Vale $92.000</text>
  </threadedComment>
</ThreadedComments>
</file>

<file path=xl/threadedComments/threadedComment12.xml><?xml version="1.0" encoding="utf-8"?>
<ThreadedComments xmlns="http://schemas.microsoft.com/office/spreadsheetml/2018/threadedcomments" xmlns:x="http://schemas.openxmlformats.org/spreadsheetml/2006/main">
  <threadedComment ref="H3" dT="2025-11-20T12:43:40.89" personId="{5711AAD5-2161-40DF-9A32-FD669555FEA6}" id="{C654F157-B415-49C5-A483-8542EEAF7556}">
    <text>GASTOS DEL SABADO:
- Adelanto Sofi $30.000
- Adelanto Paula $75.000</text>
  </threadedComment>
  <threadedComment ref="H5" dT="2025-11-20T12:44:17.92" personId="{5711AAD5-2161-40DF-9A32-FD669555FEA6}" id="{791550D5-C89B-4923-906B-4A66A02CB547}">
    <text>GASTOS DIA LUNES
- Lorsani $239.660,87
- Churros $5.000
- Adelanto Paula $10.000</text>
  </threadedComment>
  <threadedComment ref="H7" dT="2025-11-20T12:45:11.95" personId="{5711AAD5-2161-40DF-9A32-FD669555FEA6}" id="{E904CF91-74C6-4751-A955-232BC9FCCE03}">
    <text>GASTOS DIA MARTES 
- Cangiano $64.163,88
- Churros $5.000
- Lorsani $182.963,5
- Sandwichs $18.600
- Vale sin tacc $54,500
- Pana $37,400
- Adelanto Paula $40.000</text>
  </threadedComment>
  <threadedComment ref="H9" dT="2025-11-20T12:45:49.80" personId="{5711AAD5-2161-40DF-9A32-FD669555FEA6}" id="{D093D751-31B5-4EAD-9203-25F111DC5DB1}">
    <text>GASTOS DIA MIÉRCOLES 
- CHURROS $10.000
- LORSANI $ 244.078,49
- AILIN $60.000</text>
  </threadedComment>
  <threadedComment ref="H11" dT="2025-11-20T12:46:27.67" personId="{5711AAD5-2161-40DF-9A32-FD669555FEA6}" id="{08B1DD43-F7CB-464E-8B6A-FF96128F067A}">
    <text>GASTOS DIA JUEVES
- VALE $48.000
- LORSANI $213.124,44
- CANGIANO $81.993,93
- DESCARTABLES $96.990</text>
  </threadedComment>
  <threadedComment ref="H13" dT="2025-11-20T12:50:43.74" personId="{5711AAD5-2161-40DF-9A32-FD669555FEA6}" id="{80948545-87A8-4ED0-8D2D-F022AA128C86}">
    <text>GASTOS DIA VIERNES
- LORSANI $159.470,58
- churros $5.000
- Valeria st $41.500
- Oh my cookies $91.400
- Sueldo Sofi $83.375
- Sueldo Patito $ 204.275
- Alquiler $630.000
- Andrea $9000
- Ana $8000</text>
  </threadedComment>
  <threadedComment ref="H15" dT="2025-11-20T12:55:53.61" personId="{5711AAD5-2161-40DF-9A32-FD669555FEA6}" id="{BC120464-E504-4B68-96F3-ED8A0AEC7944}">
    <text>Sueldos 
Paula, Lauti y Mati $506.548</text>
  </threadedComment>
  <threadedComment ref="H17" dT="2025-11-20T12:57:00.75" personId="{5711AAD5-2161-40DF-9A32-FD669555FEA6}" id="{44078532-BB84-4D28-A3F5-22565FD0D225}">
    <text>GASTOS DIA LUNES
- LORSANI $409,641.39
- churros $5.000
- Cangiano $62,013.11
- Vale St $67,500
- Sándwiches $18,600
- Adelanto Sofia $90.000
- Adelanto Lautaro $30.000
- Adelanto Paula $90.000</text>
  </threadedComment>
  <threadedComment ref="H19" dT="2025-11-20T12:57:46.99" personId="{5711AAD5-2161-40DF-9A32-FD669555FEA6}" id="{DCEE6E74-F58F-4D64-AAF6-7C8C527EE8B2}">
    <text>GASTOS DIA MARTES
- LORSANI $116.889,58
- CHURROS $5.000
- CANGIANO $8.385,30
- Libreta Sanitaria $56.000</text>
  </threadedComment>
  <threadedComment ref="H21" dT="2025-11-20T12:58:34.01" personId="{5711AAD5-2161-40DF-9A32-FD669555FEA6}" id="{CD4118AC-B8D2-4BDD-A996-D7582C0C4CAF}">
    <text>GASTOS DIA MIÉRCOLES 
- CHURROS $5000
- CANGIANO $60.243,48
- SANDWICHES $15.600
- VALE ST $40.500
- LORSANI $297.444
- PANA $37.400
- AILIN $60.000</text>
  </threadedComment>
  <threadedComment ref="H23" dT="2025-11-20T12:59:19.47" personId="{5711AAD5-2161-40DF-9A32-FD669555FEA6}" id="{3555F5DF-BEB9-4BE6-AC00-B9F43FD6EE23}">
    <text>GASTOS DIA JUEVES 
LORSANI: $267,267.43
CHURROS: $5000
DESCARTABLES: $115.930
CANGIANO: $43.124,40
VALE ST $76.000
ADELANTO SOFIA $10.000
ADELANTO PAULA $5.000</text>
  </threadedComment>
  <threadedComment ref="H25" dT="2025-11-20T12:59:44.60" personId="{5711AAD5-2161-40DF-9A32-FD669555FEA6}" id="{CCBD1841-8FD0-4415-A99F-CBE69B822A3B}">
    <text xml:space="preserve">GASTOS DIA VIERNES
LORSANI: $144.211,78
Oh My Cookies: $132.600
CANGIANO: $21.039,48
ANDREA $18.000
Adelanto Sofi $50.000
</text>
  </threadedComment>
  <threadedComment ref="H27" dT="2025-11-20T13:00:55.85" personId="{5711AAD5-2161-40DF-9A32-FD669555FEA6}" id="{E1EA467F-69AA-471C-942D-F141E41BA588}">
    <text>GASTOS DE SÁBADO:
- CHURROS $5.000
- ADELANTO PAULA $10.000
- ADELANTO MATIAS $100.000</text>
  </threadedComment>
  <threadedComment ref="H29" dT="2025-11-20T13:01:45.18" personId="{5711AAD5-2161-40DF-9A32-FD669555FEA6}" id="{3479EFA3-2390-4C7B-BAAB-A65D026C70AE}">
    <text>GASTOS DIA LUNES
•LORZANI $208,175.79
- CANGIANO $47.044,80
- SANDWICHES $18,600
- ADELANTO PAULA $41000
- ADELANTO LAUTARO $60.000</text>
  </threadedComment>
  <threadedComment ref="H31" dT="2025-12-13T18:16:26.25" personId="{5711AAD5-2161-40DF-9A32-FD669555FEA6}" id="{ECDC721B-2722-41AD-A1B7-1E11D070C623}">
    <text>Vale $42500
Gráfica $22.000
Ensalada de Frutas $11.400</text>
  </threadedComment>
  <threadedComment ref="H33" dT="2025-12-13T18:18:10.89" personId="{5711AAD5-2161-40DF-9A32-FD669555FEA6}" id="{12A8A3B5-CE18-41E4-A38E-309167201A02}">
    <text>Sandwiches $15100
Cangiano $ 70485
Lorsani $ 202.343</text>
  </threadedComment>
  <threadedComment ref="H35" dT="2025-12-13T18:18:49.73" personId="{5711AAD5-2161-40DF-9A32-FD669555FEA6}" id="{3025B38F-D398-4B6C-9DB2-6F053CCD60DC}">
    <text xml:space="preserve">Lorsani 148205
Descartables 49430
</text>
  </threadedComment>
  <threadedComment ref="H37" dT="2025-12-13T18:20:53.85" personId="{5711AAD5-2161-40DF-9A32-FD669555FEA6}" id="{F624E1AC-54FF-4F6B-A08F-8EF6E576D0CC}">
    <text>Vale $39500
Lorsani $85774
Sandwiches $12100
Lorsani x 2 $41998
Ensalada de frutas $7600</text>
  </threadedComment>
  <threadedComment ref="H39" dT="2025-12-13T18:33:38.30" personId="{5711AAD5-2161-40DF-9A32-FD669555FEA6}" id="{385D83C6-A911-4A6A-A7BA-539B2C67283C}">
    <text xml:space="preserve">Cangiano 27440
Aire acondicionado $80000
Sueldos $753000
</text>
  </threadedComment>
  <threadedComment ref="H43" dT="2025-12-13T18:38:17.27" personId="{5711AAD5-2161-40DF-9A32-FD669555FEA6}" id="{C77FA881-78B5-4652-97E5-F3BC16DAA67D}">
    <text>GASTOS DIA MARTES 
- Lorsani $239.444,92
- Sandwichs $14.100
- CANGIANO $64.795.50
- oh my cookie $148.200</text>
  </threadedComment>
  <threadedComment ref="H45" dT="2025-12-13T18:38:53.74" personId="{5711AAD5-2161-40DF-9A32-FD669555FEA6}" id="{7BFF6A0C-EE32-4B21-9E7E-509E247EE032}">
    <text>GASTOS DIA MIÉRCOLES 
- Lorsani $267.795.85
- Ensaladas de frutas: $7600
- La pana: $29.600
- Adelanto Paula $5.000
- Cookies sin tacc $30.000
- Vale st $43.500</text>
  </threadedComment>
  <threadedComment ref="H47" dT="2025-12-13T18:39:34.10" personId="{5711AAD5-2161-40DF-9A32-FD669555FEA6}" id="{EB723979-3F93-494D-869C-723494688A81}">
    <text>GASTOS DÍA JUEVES 
- LORSANI $232,106.01
- CANGIANO $60.766.18
- VALE $70.000
- SANDWICH $14,100
- DESCARTABLES $7.540</text>
  </threadedComment>
  <threadedComment ref="H49" dT="2025-12-13T18:40:04.77" personId="{5711AAD5-2161-40DF-9A32-FD669555FEA6}" id="{48CB1CD1-BFD7-416A-9AF9-CD4BBCF93C56}">
    <text>GASTOS DIA VIERNES 
- LORSANI $188.107,82
- CANGIANO $62.723.73</text>
  </threadedComment>
  <threadedComment ref="H51" dT="2025-12-13T18:40:30.82" personId="{5711AAD5-2161-40DF-9A32-FD669555FEA6}" id="{89FC7725-9120-4EDE-94AA-1AAB02F0615F}">
    <text>GASTOS DIA SABADO
- VALE $41.500</text>
  </threadedComment>
</ThreadedComments>
</file>

<file path=xl/threadedComments/threadedComment13.xml><?xml version="1.0" encoding="utf-8"?>
<ThreadedComments xmlns="http://schemas.microsoft.com/office/spreadsheetml/2018/threadedcomments" xmlns:x="http://schemas.openxmlformats.org/spreadsheetml/2006/main">
  <threadedComment ref="H3" dT="2025-12-13T18:47:00.79" personId="{5711AAD5-2161-40DF-9A32-FD669555FEA6}" id="{AABC5CBE-C179-4B1A-947C-4161463ACD19}">
    <text>GASTOS DIA LUNES
- LORSANI $205.294,83
- CANGIANO $36.269,13
- ADELANTO LAUTI $5.000
- ADELANTO SOFI $10.000</text>
  </threadedComment>
  <threadedComment ref="H5" dT="2025-12-13T18:47:47.24" personId="{5711AAD5-2161-40DF-9A32-FD669555FEA6}" id="{BF51AF33-AFFC-4836-9344-81C55FC162EB}">
    <text>GASTOS DIA MARTES 
- CANGIANO $52.998,00
- LORSANI $170.724,53
- SÁNDWICH $14,400
- COOKIES SIN TACC $30.000
- SAN LUIS A MIL (noviembre y diciembre) $39.000
- ARCA noviembre $49.500
- ⁠Ensaladas de fruta $7600
- Vero Rosales (noviembre y diciembre) $30.000
- PANA: $29.600
- GRAFICA $35.500
- VALE SIN TACC $100,500</text>
  </threadedComment>
  <threadedComment ref="H7" dT="2025-12-13T18:48:05.83" personId="{5711AAD5-2161-40DF-9A32-FD669555FEA6}" id="{1B9F2FB3-B1D1-418D-8DAA-AC683F9F2437}">
    <text>GASTOS DIA MIÉRCOLES 
- LORSANI $134,815.57</text>
  </threadedComment>
  <threadedComment ref="H9" dT="2025-12-13T18:48:38.76" personId="{5711AAD5-2161-40DF-9A32-FD669555FEA6}" id="{D3145260-9C3E-4F2E-B5E0-0CAB62D015C4}">
    <text>GASTOS DIA JUEVES
- LORSANI : $435,151.83
- ⁠Ensaladas de Fruta $7600
- Sandwich $18600
- CANGIANO $92.758,33
- Valeria $62600
- Descartables $68.220
- Adelanto Sofia $20.000</text>
  </threadedComment>
  <threadedComment ref="H11" dT="2025-12-13T18:49:35.61" personId="{5711AAD5-2161-40DF-9A32-FD669555FEA6}" id="{8E06A78F-9348-4D3D-9BCE-ED52AFFE8EEF}">
    <text>GASTOS DIA VIERNES 
- LORSANI: $274.928,26
- DESCARTABLES: $44.380
- CANGIANO: $88.241,65
- SANDWICHES $27.500
- SUPER: $75.050
- SUPER $160.000
- GRAFICA $34.400
- ADELANTO PAULA $5.000
- COOKIES GIO $156.200/105.600 
- PINES $36.000
- BUDINES SIN TACC $26.950
- LA PANA $69.600</text>
  </threadedComment>
  <threadedComment ref="H13" dT="2025-12-13T18:53:35.38" personId="{5711AAD5-2161-40DF-9A32-FD669555FEA6}" id="{12CC7D81-B11C-45ED-9831-48357E66F9C5}">
    <text xml:space="preserve">Sueldos 1030953
</text>
  </threadedComment>
  <threadedComment ref="H17" dT="2025-12-13T18:55:16.53" personId="{5711AAD5-2161-40DF-9A32-FD669555FEA6}" id="{32A97CBB-9204-42C1-9F76-50E97EF88FE8}">
    <text>GASTOS DIA MARTES 
- LORSANI $45.580,85</text>
  </threadedComment>
  <threadedComment ref="H19" dT="2025-12-13T18:55:50.06" personId="{5711AAD5-2161-40DF-9A32-FD669555FEA6}" id="{3AB720A1-C280-4561-9D19-ED53D8654B06}">
    <text>GASTOS DIA MIÉRCOLES 
- SANDWICHES $15,000
- LORSANI: $268,954.33
- COOKIES SIN TACC $35,400
- CANGIANO $47.044,80</text>
  </threadedComment>
  <threadedComment ref="H21" dT="2025-12-13T18:56:52.00" personId="{5711AAD5-2161-40DF-9A32-FD669555FEA6}" id="{4417FC28-341E-49D8-8E63-B9285CEA69B4}">
    <text>GASTOS DÍA JUEVES
- LORSANI $211.371,34
- ENS FRUTAS $7.600
- ADORN. NAV S.R $4.000
- BARBARELLA $30,250
- CANGIANO $23.331,81
- DESCARTABLES $62.710
- GAS $6.600
- LUZ $513.000
-Alquiler $630.000</text>
  </threadedComment>
  <threadedComment ref="H23" dT="2025-12-13T18:58:34.16" personId="{5711AAD5-2161-40DF-9A32-FD669555FEA6}" id="{9326AFB0-FF57-47C2-850E-43FF62244696}">
    <text>GASTOS DIA VIERNES
- Sándwich $12,800
- Cookies $77,700
- LORSANI $141,534.03
- Ens. Frutas $7.600
- Pan dulces $9.200
-Angeleri 285000</text>
  </threadedComment>
  <threadedComment ref="H25" dT="2025-12-20T14:39:18.69" personId="{5711AAD5-2161-40DF-9A32-FD669555FEA6}" id="{886EC3DA-D421-4F9A-96DA-5639AE2E6610}">
    <text>GASTOS DE SÁBADO:
- Ana $8.000
- Desinfección $27.000
- Nova (Area medica protegida) $40.000</text>
  </threadedComment>
  <threadedComment ref="H27" dT="2025-12-20T14:39:39.51" personId="{5711AAD5-2161-40DF-9A32-FD669555FEA6}" id="{6E91DD53-768C-4475-8054-F78B72543E14}">
    <text>GASTOS DÍA LUNES
- LORSANI $245,662.98
- CANGIANO $70.376,61
- Sandwiches $16500</text>
  </threadedComment>
  <threadedComment ref="H29" dT="2025-12-20T14:40:02.29" personId="{5711AAD5-2161-40DF-9A32-FD669555FEA6}" id="{705EE3C9-1ADE-4DAC-9FA9-79814BA09D1F}">
    <text>GASTOS DIA MARTES 
- LORSANI $278,231.96
- Coca $49,390
- Sandwich $14,600
- Fecula $146,618.76</text>
  </threadedComment>
  <threadedComment ref="H31" dT="2025-12-20T14:40:49.21" personId="{5711AAD5-2161-40DF-9A32-FD669555FEA6}" id="{E9F07DAC-9858-4B53-9284-294446C67B1C}">
    <text>GASTOS DÍA MIÉRCOLES 
- LORSANI: $159.183,86
- CANGIANO: $72,255.13
- AILIN SIN TACC: $89.900
- VERO $15.000
- ADELANTO PAULA $14.000
- ADELANTO MATIAS $10.000
- ADELANTO LAUTARO $40.000
- ANDREA $15.000</text>
  </threadedComment>
  <threadedComment ref="H33" dT="2025-12-20T14:41:09.97" personId="{5711AAD5-2161-40DF-9A32-FD669555FEA6}" id="{D24282AC-0A04-4AAC-B380-F54F2414E133}">
    <text>GASTOS DIA JUEVES
- LORSANI $245.014,12
- ⁠CANGEANO $39.204
- DESCARTABLES $46.780</text>
  </threadedComment>
  <threadedComment ref="H35" dT="2025-12-20T14:42:33.95" personId="{5711AAD5-2161-40DF-9A32-FD669555FEA6}" id="{13C81811-BA4B-416A-892B-2BAC3418167E}">
    <text>GASTOS DIA VIERNES 
- VALE $39.000
- LORSANI $198.773,01
- ENS. FRUTAS $11.400
- PAN DULCE $6.200
- CANGIANO $27.252.21
- Coca Cola $38.900</text>
  </threadedComment>
  <threadedComment ref="H39" dT="2026-01-14T14:17:25.55" personId="{5711AAD5-2161-40DF-9A32-FD669555FEA6}" id="{1A1CD913-99F3-413F-BD0B-43FC4086ABA5}">
    <text>GASTOS DIA LUNES
- LORSANI $203,018.63
- CANGIANO $52.228,44
- Sándwiches $16.800
- Valen ST $39.500
- Pana $29600
- ⁠Ensaladas $7600
- ⁠Pan dulces $7100
- Box : $12.000
- Cookies y pan dulces sin tacc $104.600</text>
  </threadedComment>
  <threadedComment ref="H41" dT="2026-01-14T14:17:56.16" personId="{5711AAD5-2161-40DF-9A32-FD669555FEA6}" id="{E553F86B-E695-43AC-8D6A-C8566286C8AB}">
    <text>GASTOS DIA MARTES
- ⁠Pan dulces $14400
- Cookies $123.200
- Angeleri $145.000</text>
  </threadedComment>
  <threadedComment ref="H43" dT="2026-01-14T14:18:14.79" personId="{5711AAD5-2161-40DF-9A32-FD669555FEA6}" id="{F2A67E48-166C-4DE8-B40A-F402B7E834E6}">
    <text>GASTOS DIA MIÉRCOLES 
- Descartables $57.280
- Barbarella $40.400</text>
  </threadedComment>
  <threadedComment ref="H47" dT="2026-01-14T14:19:59.40" personId="{5711AAD5-2161-40DF-9A32-FD669555FEA6}" id="{FDC96C37-CDEF-4BE8-8D63-2D5AD10A1358}">
    <text>GASTOS VIERNES:
- Arca monotributo $50.000</text>
  </threadedComment>
  <threadedComment ref="H51" dT="2026-01-14T14:20:47.79" personId="{5711AAD5-2161-40DF-9A32-FD669555FEA6}" id="{0A4B28B0-00C6-46EE-9545-94B2E7102D88}">
    <text>GASTOS DIA LUNES 
Lorsani $259,311.78
Cafe $22.240
Margarina $20.800
Cangiano $25.570.51</text>
  </threadedComment>
  <threadedComment ref="H53" dT="2026-01-14T14:21:28.92" personId="{5711AAD5-2161-40DF-9A32-FD669555FEA6}" id="{46A0293D-3A74-4B0E-B75E-E44B8A7C5D73}">
    <text>GASTOS DE HOY MARTES:
- Vale $27.500
- sandwich $19.800
- Pan dulce s/t $28.500
- Lorsani $173.948.28
- La Pana $23.400
- ⁠Ensaladas $11400
- ⁠Pan dulces c/t $9300</text>
  </threadedComment>
  <threadedComment ref="H55" dT="2026-01-14T14:22:21.61" personId="{5711AAD5-2161-40DF-9A32-FD669555FEA6}" id="{4237E252-4633-4D70-A1FA-0075E645C7F7}">
    <text>Gastos miércoles:
Descartables: $11.080</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microsoft.com/office/2017/10/relationships/threadedComment" Target="../threadedComments/threadedComment9.xml"/><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3.xml"/><Relationship Id="rId1" Type="http://schemas.openxmlformats.org/officeDocument/2006/relationships/printerSettings" Target="../printerSettings/printerSettings13.bin"/><Relationship Id="rId5" Type="http://schemas.microsoft.com/office/2017/10/relationships/threadedComment" Target="../threadedComments/threadedComment11.xml"/><Relationship Id="rId4"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microsoft.com/office/2017/10/relationships/threadedComment" Target="../threadedComments/threadedComment12.xml"/><Relationship Id="rId4"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microsoft.com/office/2017/10/relationships/threadedComment" Target="../threadedComments/threadedComment13.xml"/><Relationship Id="rId4" Type="http://schemas.openxmlformats.org/officeDocument/2006/relationships/comments" Target="../comments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U83"/>
  <sheetViews>
    <sheetView showGridLines="0" zoomScale="85" zoomScaleNormal="85" workbookViewId="0">
      <pane xSplit="3" ySplit="2" topLeftCell="D11" activePane="bottomRight" state="frozen"/>
      <selection activeCell="L46" sqref="L46"/>
      <selection pane="topRight" activeCell="L46" sqref="L46"/>
      <selection pane="bottomLeft" activeCell="L46" sqref="L46"/>
      <selection pane="bottomRight" activeCell="B62" sqref="B62"/>
    </sheetView>
  </sheetViews>
  <sheetFormatPr baseColWidth="10" defaultRowHeight="14.4" x14ac:dyDescent="0.3"/>
  <cols>
    <col min="1" max="1" width="8.88671875" customWidth="1"/>
    <col min="2" max="2" width="10.88671875" style="1" customWidth="1"/>
    <col min="3" max="3" width="8.88671875" style="1" customWidth="1"/>
    <col min="4" max="4" width="13.33203125" style="1" customWidth="1"/>
    <col min="5" max="5" width="11" style="1" customWidth="1"/>
    <col min="6" max="6" width="10.88671875" style="1" customWidth="1"/>
    <col min="7" max="7" width="11.109375" style="1" customWidth="1"/>
    <col min="8" max="8" width="11.44140625" style="1" customWidth="1"/>
    <col min="9" max="9" width="13.44140625" style="1" customWidth="1"/>
    <col min="10" max="10" width="10.6640625" style="1" customWidth="1"/>
    <col min="11" max="11" width="12" bestFit="1" customWidth="1"/>
    <col min="12" max="12" width="12.33203125" bestFit="1" customWidth="1"/>
  </cols>
  <sheetData>
    <row r="1" spans="1:11" x14ac:dyDescent="0.3">
      <c r="A1" s="241" t="s">
        <v>12</v>
      </c>
      <c r="B1" s="241" t="s">
        <v>0</v>
      </c>
      <c r="C1" s="241" t="s">
        <v>1</v>
      </c>
      <c r="D1" s="243" t="s">
        <v>7</v>
      </c>
      <c r="E1" s="244"/>
      <c r="F1" s="244"/>
      <c r="G1" s="244"/>
      <c r="H1" s="245" t="s">
        <v>10</v>
      </c>
      <c r="I1" s="246"/>
      <c r="J1" s="247"/>
    </row>
    <row r="2" spans="1:11" ht="29.25" customHeight="1" thickBot="1" x14ac:dyDescent="0.35">
      <c r="A2" s="242"/>
      <c r="B2" s="242"/>
      <c r="C2" s="242"/>
      <c r="D2" s="164" t="s">
        <v>4</v>
      </c>
      <c r="E2" s="163" t="s">
        <v>67</v>
      </c>
      <c r="F2" s="162" t="s">
        <v>68</v>
      </c>
      <c r="G2" s="161" t="s">
        <v>6</v>
      </c>
      <c r="H2" s="8" t="s">
        <v>2</v>
      </c>
      <c r="I2" s="5" t="s">
        <v>69</v>
      </c>
      <c r="J2" s="9" t="s">
        <v>3</v>
      </c>
    </row>
    <row r="3" spans="1:11" x14ac:dyDescent="0.3">
      <c r="A3" s="256" t="s">
        <v>15</v>
      </c>
      <c r="B3" s="258">
        <v>46023</v>
      </c>
      <c r="C3" s="165" t="s">
        <v>8</v>
      </c>
      <c r="D3" s="166"/>
      <c r="E3" s="167"/>
      <c r="F3" s="167"/>
      <c r="G3" s="167">
        <f t="shared" ref="G3:G18" si="0">D3-E3</f>
        <v>0</v>
      </c>
      <c r="H3" s="260">
        <f>D3+D4</f>
        <v>0</v>
      </c>
      <c r="I3" s="260">
        <f>E3+E4</f>
        <v>0</v>
      </c>
      <c r="J3" s="254">
        <f>H3-I3</f>
        <v>0</v>
      </c>
      <c r="K3" s="254" t="s">
        <v>70</v>
      </c>
    </row>
    <row r="4" spans="1:11" ht="15" thickBot="1" x14ac:dyDescent="0.35">
      <c r="A4" s="257"/>
      <c r="B4" s="259"/>
      <c r="C4" s="168" t="s">
        <v>9</v>
      </c>
      <c r="D4" s="169"/>
      <c r="E4" s="170"/>
      <c r="F4" s="170"/>
      <c r="G4" s="170">
        <f t="shared" si="0"/>
        <v>0</v>
      </c>
      <c r="H4" s="261"/>
      <c r="I4" s="261"/>
      <c r="J4" s="255"/>
      <c r="K4" s="255"/>
    </row>
    <row r="5" spans="1:11" x14ac:dyDescent="0.3">
      <c r="A5" s="194" t="s">
        <v>16</v>
      </c>
      <c r="B5" s="196">
        <v>46024</v>
      </c>
      <c r="C5" s="56" t="s">
        <v>8</v>
      </c>
      <c r="D5" s="22">
        <v>160143</v>
      </c>
      <c r="E5" s="2">
        <v>177825</v>
      </c>
      <c r="F5" s="2">
        <v>10000</v>
      </c>
      <c r="G5" s="2">
        <f t="shared" si="0"/>
        <v>-17682</v>
      </c>
      <c r="H5" s="198">
        <f>D5+D6</f>
        <v>313366</v>
      </c>
      <c r="I5" s="198">
        <f>E5+E6+F5+F6</f>
        <v>288591</v>
      </c>
      <c r="J5" s="200">
        <f>H5-I5</f>
        <v>24775</v>
      </c>
    </row>
    <row r="6" spans="1:11" ht="15" thickBot="1" x14ac:dyDescent="0.35">
      <c r="A6" s="222"/>
      <c r="B6" s="197"/>
      <c r="C6" s="57" t="s">
        <v>9</v>
      </c>
      <c r="D6" s="27">
        <v>153223</v>
      </c>
      <c r="E6" s="10">
        <f>40000+60766</f>
        <v>100766</v>
      </c>
      <c r="F6" s="10">
        <v>0</v>
      </c>
      <c r="G6" s="10">
        <f t="shared" si="0"/>
        <v>52457</v>
      </c>
      <c r="H6" s="223"/>
      <c r="I6" s="223"/>
      <c r="J6" s="225"/>
    </row>
    <row r="7" spans="1:11" x14ac:dyDescent="0.3">
      <c r="A7" s="262" t="s">
        <v>13</v>
      </c>
      <c r="B7" s="264">
        <v>46025</v>
      </c>
      <c r="C7" s="58" t="s">
        <v>8</v>
      </c>
      <c r="D7" s="52">
        <v>167132</v>
      </c>
      <c r="E7" s="46">
        <v>0</v>
      </c>
      <c r="F7" s="46">
        <v>1064822</v>
      </c>
      <c r="G7" s="46">
        <f t="shared" si="0"/>
        <v>167132</v>
      </c>
      <c r="H7" s="266">
        <f>D7+D8</f>
        <v>416179</v>
      </c>
      <c r="I7" s="266">
        <f>E7+E8+F7+F8</f>
        <v>1064822</v>
      </c>
      <c r="J7" s="266">
        <f>H7-I7</f>
        <v>-648643</v>
      </c>
    </row>
    <row r="8" spans="1:11" ht="15" thickBot="1" x14ac:dyDescent="0.35">
      <c r="A8" s="263"/>
      <c r="B8" s="265"/>
      <c r="C8" s="59" t="s">
        <v>9</v>
      </c>
      <c r="D8" s="53">
        <v>249047</v>
      </c>
      <c r="E8" s="47">
        <v>0</v>
      </c>
      <c r="F8" s="47">
        <v>0</v>
      </c>
      <c r="G8" s="47">
        <f t="shared" si="0"/>
        <v>249047</v>
      </c>
      <c r="H8" s="267"/>
      <c r="I8" s="267"/>
      <c r="J8" s="267"/>
    </row>
    <row r="9" spans="1:11" x14ac:dyDescent="0.3">
      <c r="A9" s="219" t="s">
        <v>17</v>
      </c>
      <c r="B9" s="196">
        <v>46027</v>
      </c>
      <c r="C9" s="60" t="s">
        <v>8</v>
      </c>
      <c r="D9" s="23">
        <v>249188</v>
      </c>
      <c r="E9" s="3">
        <v>296504</v>
      </c>
      <c r="F9" s="3">
        <v>0</v>
      </c>
      <c r="G9" s="3">
        <f t="shared" si="0"/>
        <v>-47316</v>
      </c>
      <c r="H9" s="220">
        <f>D9+D10</f>
        <v>529898</v>
      </c>
      <c r="I9" s="198">
        <f>E9+E10+F9+F10</f>
        <v>384904</v>
      </c>
      <c r="J9" s="221">
        <f>H9-I9</f>
        <v>144994</v>
      </c>
    </row>
    <row r="10" spans="1:11" ht="15" thickBot="1" x14ac:dyDescent="0.35">
      <c r="A10" s="194"/>
      <c r="B10" s="197"/>
      <c r="C10" s="61" t="s">
        <v>9</v>
      </c>
      <c r="D10" s="22">
        <v>280710</v>
      </c>
      <c r="E10" s="2">
        <f>55500+32900</f>
        <v>88400</v>
      </c>
      <c r="F10" s="2">
        <v>0</v>
      </c>
      <c r="G10" s="2">
        <f t="shared" si="0"/>
        <v>192310</v>
      </c>
      <c r="H10" s="198"/>
      <c r="I10" s="199"/>
      <c r="J10" s="200"/>
    </row>
    <row r="11" spans="1:11" x14ac:dyDescent="0.3">
      <c r="A11" s="194" t="s">
        <v>18</v>
      </c>
      <c r="B11" s="196">
        <v>46028</v>
      </c>
      <c r="C11" s="61" t="s">
        <v>8</v>
      </c>
      <c r="D11" s="22">
        <v>291821</v>
      </c>
      <c r="E11" s="2">
        <f>85800</f>
        <v>85800</v>
      </c>
      <c r="F11" s="2">
        <v>0</v>
      </c>
      <c r="G11" s="2">
        <f t="shared" si="0"/>
        <v>206021</v>
      </c>
      <c r="H11" s="198">
        <f>D11+D12</f>
        <v>534946</v>
      </c>
      <c r="I11" s="198">
        <f>E11+E12+F11+F12</f>
        <v>232418</v>
      </c>
      <c r="J11" s="200">
        <f>H11-I11</f>
        <v>302528</v>
      </c>
    </row>
    <row r="12" spans="1:11" ht="15" thickBot="1" x14ac:dyDescent="0.35">
      <c r="A12" s="194"/>
      <c r="B12" s="197"/>
      <c r="C12" s="61" t="s">
        <v>9</v>
      </c>
      <c r="D12" s="22">
        <v>243125</v>
      </c>
      <c r="E12" s="2">
        <f>146618</f>
        <v>146618</v>
      </c>
      <c r="F12" s="2">
        <v>0</v>
      </c>
      <c r="G12" s="2">
        <f t="shared" si="0"/>
        <v>96507</v>
      </c>
      <c r="H12" s="198"/>
      <c r="I12" s="198"/>
      <c r="J12" s="200"/>
    </row>
    <row r="13" spans="1:11" x14ac:dyDescent="0.3">
      <c r="A13" s="194" t="s">
        <v>19</v>
      </c>
      <c r="B13" s="196">
        <v>46029</v>
      </c>
      <c r="C13" s="61" t="s">
        <v>8</v>
      </c>
      <c r="D13" s="22">
        <v>302341</v>
      </c>
      <c r="E13" s="2">
        <f>189382</f>
        <v>189382</v>
      </c>
      <c r="F13" s="2">
        <v>20000</v>
      </c>
      <c r="G13" s="2">
        <f t="shared" si="0"/>
        <v>112959</v>
      </c>
      <c r="H13" s="198">
        <f>D13+D14</f>
        <v>527236</v>
      </c>
      <c r="I13" s="198">
        <f>E13+E14+F13+F14</f>
        <v>416982</v>
      </c>
      <c r="J13" s="200">
        <f>H13-I13</f>
        <v>110254</v>
      </c>
    </row>
    <row r="14" spans="1:11" ht="15" thickBot="1" x14ac:dyDescent="0.35">
      <c r="A14" s="194"/>
      <c r="B14" s="197"/>
      <c r="C14" s="61" t="s">
        <v>9</v>
      </c>
      <c r="D14" s="22">
        <v>224895</v>
      </c>
      <c r="E14" s="2">
        <f>79700+27500+29600+70800</f>
        <v>207600</v>
      </c>
      <c r="F14" s="2">
        <v>0</v>
      </c>
      <c r="G14" s="2">
        <f t="shared" si="0"/>
        <v>17295</v>
      </c>
      <c r="H14" s="198"/>
      <c r="I14" s="198"/>
      <c r="J14" s="200"/>
    </row>
    <row r="15" spans="1:11" x14ac:dyDescent="0.3">
      <c r="A15" s="194" t="s">
        <v>15</v>
      </c>
      <c r="B15" s="196">
        <v>46030</v>
      </c>
      <c r="C15" s="61" t="s">
        <v>8</v>
      </c>
      <c r="D15" s="22">
        <v>375698</v>
      </c>
      <c r="E15" s="2">
        <v>15960</v>
      </c>
      <c r="F15" s="2">
        <v>0</v>
      </c>
      <c r="G15" s="2">
        <f t="shared" si="0"/>
        <v>359738</v>
      </c>
      <c r="H15" s="198">
        <f>D15+D16</f>
        <v>827120</v>
      </c>
      <c r="I15" s="198">
        <f>E15+E16+F15+F16</f>
        <v>15960</v>
      </c>
      <c r="J15" s="200">
        <f>H15-I15</f>
        <v>811160</v>
      </c>
    </row>
    <row r="16" spans="1:11" ht="15" thickBot="1" x14ac:dyDescent="0.35">
      <c r="A16" s="194"/>
      <c r="B16" s="197"/>
      <c r="C16" s="61" t="s">
        <v>9</v>
      </c>
      <c r="D16" s="22">
        <v>451422</v>
      </c>
      <c r="E16" s="2">
        <v>0</v>
      </c>
      <c r="F16" s="2">
        <v>0</v>
      </c>
      <c r="G16" s="2">
        <f t="shared" si="0"/>
        <v>451422</v>
      </c>
      <c r="H16" s="198"/>
      <c r="I16" s="198"/>
      <c r="J16" s="200"/>
    </row>
    <row r="17" spans="1:21" x14ac:dyDescent="0.3">
      <c r="A17" s="234" t="s">
        <v>16</v>
      </c>
      <c r="B17" s="196">
        <v>46031</v>
      </c>
      <c r="C17" s="67" t="s">
        <v>8</v>
      </c>
      <c r="D17" s="68">
        <v>332757</v>
      </c>
      <c r="E17" s="69">
        <f>214971</f>
        <v>214971</v>
      </c>
      <c r="F17" s="69">
        <v>50000</v>
      </c>
      <c r="G17" s="69">
        <f t="shared" si="0"/>
        <v>117786</v>
      </c>
      <c r="H17" s="236">
        <f>D17+D18</f>
        <v>729150</v>
      </c>
      <c r="I17" s="224">
        <f>E17+E18+F17+F18</f>
        <v>894971</v>
      </c>
      <c r="J17" s="238">
        <f>H17-I17</f>
        <v>-165821</v>
      </c>
      <c r="K17" s="248" t="s">
        <v>42</v>
      </c>
    </row>
    <row r="18" spans="1:21" ht="15" thickBot="1" x14ac:dyDescent="0.35">
      <c r="A18" s="268"/>
      <c r="B18" s="197"/>
      <c r="C18" s="70" t="s">
        <v>9</v>
      </c>
      <c r="D18" s="71">
        <v>396393</v>
      </c>
      <c r="E18" s="72">
        <v>0</v>
      </c>
      <c r="F18" s="72">
        <f>630000</f>
        <v>630000</v>
      </c>
      <c r="G18" s="72">
        <f t="shared" si="0"/>
        <v>396393</v>
      </c>
      <c r="H18" s="269"/>
      <c r="I18" s="223"/>
      <c r="J18" s="270"/>
      <c r="K18" s="249"/>
    </row>
    <row r="19" spans="1:21" x14ac:dyDescent="0.3">
      <c r="A19" s="213" t="s">
        <v>13</v>
      </c>
      <c r="B19" s="215">
        <v>46032</v>
      </c>
      <c r="C19" s="63" t="s">
        <v>8</v>
      </c>
      <c r="D19" s="54">
        <v>341627</v>
      </c>
      <c r="E19" s="48">
        <v>0</v>
      </c>
      <c r="F19" s="48">
        <f>50000</f>
        <v>50000</v>
      </c>
      <c r="G19" s="48">
        <f>D19-E19</f>
        <v>341627</v>
      </c>
      <c r="H19" s="217">
        <f>D19+D20</f>
        <v>513743</v>
      </c>
      <c r="I19" s="217">
        <f>E19+E20+F19+F20</f>
        <v>91000</v>
      </c>
      <c r="J19" s="217">
        <f>H19-I19</f>
        <v>422743</v>
      </c>
    </row>
    <row r="20" spans="1:21" ht="15" thickBot="1" x14ac:dyDescent="0.35">
      <c r="A20" s="214"/>
      <c r="B20" s="216"/>
      <c r="C20" s="64" t="s">
        <v>9</v>
      </c>
      <c r="D20" s="55">
        <v>172116</v>
      </c>
      <c r="E20" s="49">
        <v>0</v>
      </c>
      <c r="F20" s="49">
        <f>41000</f>
        <v>41000</v>
      </c>
      <c r="G20" s="49">
        <f>D20-E20</f>
        <v>172116</v>
      </c>
      <c r="H20" s="218"/>
      <c r="I20" s="218"/>
      <c r="J20" s="218"/>
    </row>
    <row r="21" spans="1:21" x14ac:dyDescent="0.3">
      <c r="A21" s="219" t="s">
        <v>17</v>
      </c>
      <c r="B21" s="196">
        <v>46034</v>
      </c>
      <c r="C21" s="60" t="s">
        <v>8</v>
      </c>
      <c r="D21" s="23">
        <v>166727</v>
      </c>
      <c r="E21" s="3">
        <v>292279</v>
      </c>
      <c r="F21" s="3">
        <v>15000</v>
      </c>
      <c r="G21" s="3">
        <f>D21-E21</f>
        <v>-125552</v>
      </c>
      <c r="H21" s="220">
        <f>D21+D22</f>
        <v>315655</v>
      </c>
      <c r="I21" s="198">
        <f>E21+E22+F21+F22</f>
        <v>380845</v>
      </c>
      <c r="J21" s="221">
        <f>H21-I21</f>
        <v>-65190</v>
      </c>
    </row>
    <row r="22" spans="1:21" ht="15" thickBot="1" x14ac:dyDescent="0.35">
      <c r="A22" s="194"/>
      <c r="B22" s="197"/>
      <c r="C22" s="61" t="s">
        <v>9</v>
      </c>
      <c r="D22" s="22">
        <v>148928</v>
      </c>
      <c r="E22" s="2">
        <v>73566</v>
      </c>
      <c r="F22" s="2">
        <v>0</v>
      </c>
      <c r="G22" s="2">
        <f>D22-E22</f>
        <v>75362</v>
      </c>
      <c r="H22" s="198"/>
      <c r="I22" s="199"/>
      <c r="J22" s="200"/>
    </row>
    <row r="23" spans="1:21" x14ac:dyDescent="0.3">
      <c r="A23" s="194" t="s">
        <v>18</v>
      </c>
      <c r="B23" s="196">
        <v>46035</v>
      </c>
      <c r="C23" s="61" t="s">
        <v>8</v>
      </c>
      <c r="D23" s="22">
        <v>289099</v>
      </c>
      <c r="E23" s="2">
        <f>71000+12000+147000</f>
        <v>230000</v>
      </c>
      <c r="F23" s="2">
        <v>0</v>
      </c>
      <c r="G23" s="2">
        <f t="shared" ref="G23:G48" si="1">D23-E23</f>
        <v>59099</v>
      </c>
      <c r="H23" s="198">
        <f>D23+D24</f>
        <v>757044</v>
      </c>
      <c r="I23" s="198">
        <f>E23+E24+F23+F24</f>
        <v>482900</v>
      </c>
      <c r="J23" s="200">
        <f>H23-I23</f>
        <v>274144</v>
      </c>
    </row>
    <row r="24" spans="1:21" ht="15" thickBot="1" x14ac:dyDescent="0.35">
      <c r="A24" s="194"/>
      <c r="B24" s="197"/>
      <c r="C24" s="61" t="s">
        <v>9</v>
      </c>
      <c r="D24" s="22">
        <v>467945</v>
      </c>
      <c r="E24" s="2">
        <f>194600+20900+37400</f>
        <v>252900</v>
      </c>
      <c r="F24" s="2">
        <v>0</v>
      </c>
      <c r="G24" s="2">
        <f t="shared" si="1"/>
        <v>215045</v>
      </c>
      <c r="H24" s="198"/>
      <c r="I24" s="198"/>
      <c r="J24" s="200"/>
    </row>
    <row r="25" spans="1:21" x14ac:dyDescent="0.3">
      <c r="A25" s="194" t="s">
        <v>19</v>
      </c>
      <c r="B25" s="196">
        <v>46036</v>
      </c>
      <c r="C25" s="61" t="s">
        <v>8</v>
      </c>
      <c r="D25" s="22">
        <v>190739</v>
      </c>
      <c r="E25" s="2">
        <v>234578</v>
      </c>
      <c r="F25" s="2">
        <v>30000</v>
      </c>
      <c r="G25" s="2">
        <f t="shared" si="1"/>
        <v>-43839</v>
      </c>
      <c r="H25" s="198">
        <f>D25+D26</f>
        <v>420681</v>
      </c>
      <c r="I25" s="198">
        <f>E25+E26+F25+F26</f>
        <v>264578</v>
      </c>
      <c r="J25" s="200">
        <f>H25-I25</f>
        <v>156103</v>
      </c>
    </row>
    <row r="26" spans="1:21" ht="15" thickBot="1" x14ac:dyDescent="0.35">
      <c r="A26" s="194"/>
      <c r="B26" s="197"/>
      <c r="C26" s="61" t="s">
        <v>9</v>
      </c>
      <c r="D26" s="22">
        <v>229942</v>
      </c>
      <c r="E26" s="2">
        <v>0</v>
      </c>
      <c r="F26" s="2">
        <v>0</v>
      </c>
      <c r="G26" s="2">
        <f t="shared" si="1"/>
        <v>229942</v>
      </c>
      <c r="H26" s="198"/>
      <c r="I26" s="198"/>
      <c r="J26" s="200"/>
    </row>
    <row r="27" spans="1:21" x14ac:dyDescent="0.3">
      <c r="A27" s="194" t="s">
        <v>15</v>
      </c>
      <c r="B27" s="196">
        <v>46037</v>
      </c>
      <c r="C27" s="61" t="s">
        <v>8</v>
      </c>
      <c r="D27" s="22">
        <v>160207</v>
      </c>
      <c r="E27" s="2">
        <f>70800+50290</f>
        <v>121090</v>
      </c>
      <c r="F27" s="2">
        <v>0</v>
      </c>
      <c r="G27" s="2">
        <f t="shared" si="1"/>
        <v>39117</v>
      </c>
      <c r="H27" s="198">
        <f>D27+D28</f>
        <v>375059</v>
      </c>
      <c r="I27" s="198">
        <f>E27+E28+F27+F28</f>
        <v>195963</v>
      </c>
      <c r="J27" s="200">
        <f>H27-I27</f>
        <v>179096</v>
      </c>
    </row>
    <row r="28" spans="1:21" ht="15" thickBot="1" x14ac:dyDescent="0.35">
      <c r="A28" s="194"/>
      <c r="B28" s="197"/>
      <c r="C28" s="61" t="s">
        <v>9</v>
      </c>
      <c r="D28" s="22">
        <v>214852</v>
      </c>
      <c r="E28" s="2">
        <f>74873</f>
        <v>74873</v>
      </c>
      <c r="F28" s="2">
        <v>0</v>
      </c>
      <c r="G28" s="2">
        <f t="shared" si="1"/>
        <v>139979</v>
      </c>
      <c r="H28" s="198"/>
      <c r="I28" s="198"/>
      <c r="J28" s="200"/>
    </row>
    <row r="29" spans="1:21" x14ac:dyDescent="0.3">
      <c r="A29" s="194" t="s">
        <v>16</v>
      </c>
      <c r="B29" s="196">
        <v>46038</v>
      </c>
      <c r="C29" s="61" t="s">
        <v>8</v>
      </c>
      <c r="D29" s="22">
        <v>224757</v>
      </c>
      <c r="E29" s="2">
        <v>327395</v>
      </c>
      <c r="F29" s="2">
        <v>10000</v>
      </c>
      <c r="G29" s="2">
        <f t="shared" si="1"/>
        <v>-102638</v>
      </c>
      <c r="H29" s="198">
        <f>D29+D30</f>
        <v>471444</v>
      </c>
      <c r="I29" s="224">
        <f>E29+E30+F29+F30</f>
        <v>411395</v>
      </c>
      <c r="J29" s="200">
        <f>H29-I29</f>
        <v>60049</v>
      </c>
    </row>
    <row r="30" spans="1:21" ht="15" thickBot="1" x14ac:dyDescent="0.35">
      <c r="A30" s="222"/>
      <c r="B30" s="197"/>
      <c r="C30" s="62" t="s">
        <v>9</v>
      </c>
      <c r="D30" s="27">
        <v>246687</v>
      </c>
      <c r="E30" s="10">
        <v>54000</v>
      </c>
      <c r="F30" s="10">
        <v>20000</v>
      </c>
      <c r="G30" s="10">
        <f t="shared" si="1"/>
        <v>192687</v>
      </c>
      <c r="H30" s="223"/>
      <c r="I30" s="223"/>
      <c r="J30" s="225"/>
    </row>
    <row r="31" spans="1:21" x14ac:dyDescent="0.3">
      <c r="A31" s="262" t="s">
        <v>13</v>
      </c>
      <c r="B31" s="264">
        <v>46039</v>
      </c>
      <c r="C31" s="58" t="s">
        <v>8</v>
      </c>
      <c r="D31" s="52">
        <v>137650</v>
      </c>
      <c r="E31" s="46">
        <v>0</v>
      </c>
      <c r="F31" s="46">
        <v>1202781</v>
      </c>
      <c r="G31" s="46">
        <f t="shared" si="1"/>
        <v>137650</v>
      </c>
      <c r="H31" s="266">
        <f>D31+D32</f>
        <v>363632</v>
      </c>
      <c r="I31" s="266">
        <f>E31+E32+F31+F32</f>
        <v>1202781</v>
      </c>
      <c r="J31" s="266">
        <f>H31-I31</f>
        <v>-839149</v>
      </c>
    </row>
    <row r="32" spans="1:21" ht="15" thickBot="1" x14ac:dyDescent="0.35">
      <c r="A32" s="263"/>
      <c r="B32" s="265"/>
      <c r="C32" s="65" t="s">
        <v>35</v>
      </c>
      <c r="D32" s="53">
        <v>225982</v>
      </c>
      <c r="E32" s="47">
        <v>0</v>
      </c>
      <c r="F32" s="47">
        <v>0</v>
      </c>
      <c r="G32" s="47">
        <f t="shared" si="1"/>
        <v>225982</v>
      </c>
      <c r="H32" s="267"/>
      <c r="I32" s="267"/>
      <c r="J32" s="267"/>
      <c r="T32" s="43"/>
      <c r="U32" t="s">
        <v>41</v>
      </c>
    </row>
    <row r="33" spans="1:21" s="1" customFormat="1" ht="14.25" customHeight="1" x14ac:dyDescent="0.3">
      <c r="A33" s="219" t="s">
        <v>17</v>
      </c>
      <c r="B33" s="196">
        <v>46041</v>
      </c>
      <c r="C33" s="60" t="s">
        <v>8</v>
      </c>
      <c r="D33" s="23">
        <v>233113</v>
      </c>
      <c r="E33" s="3">
        <f>72534</f>
        <v>72534</v>
      </c>
      <c r="F33" s="3">
        <v>0</v>
      </c>
      <c r="G33" s="3">
        <f t="shared" si="1"/>
        <v>160579</v>
      </c>
      <c r="H33" s="220">
        <f>D33+D34</f>
        <v>355934</v>
      </c>
      <c r="I33" s="198">
        <f>E33+E34+F33+F34</f>
        <v>229593</v>
      </c>
      <c r="J33" s="221">
        <f>H33-I33</f>
        <v>126341</v>
      </c>
      <c r="K33"/>
      <c r="L33"/>
      <c r="M33"/>
      <c r="N33"/>
      <c r="O33"/>
      <c r="T33" s="42"/>
      <c r="U33" t="s">
        <v>40</v>
      </c>
    </row>
    <row r="34" spans="1:21" s="1" customFormat="1" ht="15" thickBot="1" x14ac:dyDescent="0.35">
      <c r="A34" s="194"/>
      <c r="B34" s="197"/>
      <c r="C34" s="61" t="s">
        <v>9</v>
      </c>
      <c r="D34" s="22">
        <v>122821</v>
      </c>
      <c r="E34" s="2">
        <f>157059</f>
        <v>157059</v>
      </c>
      <c r="F34" s="2">
        <v>0</v>
      </c>
      <c r="G34" s="2">
        <f t="shared" si="1"/>
        <v>-34238</v>
      </c>
      <c r="H34" s="198"/>
      <c r="I34" s="199"/>
      <c r="J34" s="200"/>
      <c r="K34"/>
      <c r="L34"/>
      <c r="M34"/>
      <c r="N34"/>
      <c r="O34"/>
    </row>
    <row r="35" spans="1:21" s="1" customFormat="1" x14ac:dyDescent="0.3">
      <c r="A35" s="194" t="s">
        <v>18</v>
      </c>
      <c r="B35" s="196">
        <v>46042</v>
      </c>
      <c r="C35" s="61" t="s">
        <v>8</v>
      </c>
      <c r="D35" s="22">
        <v>199867</v>
      </c>
      <c r="E35" s="2">
        <v>123480</v>
      </c>
      <c r="F35" s="2">
        <v>0</v>
      </c>
      <c r="G35" s="2">
        <f t="shared" si="1"/>
        <v>76387</v>
      </c>
      <c r="H35" s="198">
        <f>D35+D36</f>
        <v>497953</v>
      </c>
      <c r="I35" s="198">
        <f>E35+E36+F35+F36</f>
        <v>206180</v>
      </c>
      <c r="J35" s="200">
        <f>H35-I35</f>
        <v>291773</v>
      </c>
      <c r="K35"/>
      <c r="L35"/>
      <c r="M35"/>
      <c r="N35"/>
      <c r="O35"/>
    </row>
    <row r="36" spans="1:21" s="1" customFormat="1" ht="15" thickBot="1" x14ac:dyDescent="0.35">
      <c r="A36" s="194"/>
      <c r="B36" s="197"/>
      <c r="C36" s="61" t="s">
        <v>9</v>
      </c>
      <c r="D36" s="22">
        <v>298086</v>
      </c>
      <c r="E36" s="2">
        <f>19200+63500</f>
        <v>82700</v>
      </c>
      <c r="F36" s="2">
        <v>0</v>
      </c>
      <c r="G36" s="2">
        <f t="shared" si="1"/>
        <v>215386</v>
      </c>
      <c r="H36" s="198"/>
      <c r="I36" s="198"/>
      <c r="J36" s="200"/>
      <c r="K36"/>
      <c r="L36"/>
      <c r="M36"/>
    </row>
    <row r="37" spans="1:21" s="1" customFormat="1" ht="14.25" customHeight="1" x14ac:dyDescent="0.3">
      <c r="A37" s="194" t="s">
        <v>19</v>
      </c>
      <c r="B37" s="196">
        <v>46043</v>
      </c>
      <c r="C37" s="66" t="s">
        <v>8</v>
      </c>
      <c r="D37" s="44">
        <v>168239</v>
      </c>
      <c r="E37" s="45">
        <f>42389+168049</f>
        <v>210438</v>
      </c>
      <c r="F37" s="45">
        <v>0</v>
      </c>
      <c r="G37" s="45">
        <f t="shared" si="1"/>
        <v>-42199</v>
      </c>
      <c r="H37" s="211">
        <f>D37+D38</f>
        <v>356109</v>
      </c>
      <c r="I37" s="198">
        <f>E37+E38+F37+F38</f>
        <v>422990</v>
      </c>
      <c r="J37" s="212">
        <f>H37-I37</f>
        <v>-66881</v>
      </c>
      <c r="K37" s="210"/>
      <c r="L37"/>
      <c r="M37"/>
    </row>
    <row r="38" spans="1:21" s="1" customFormat="1" ht="15" thickBot="1" x14ac:dyDescent="0.35">
      <c r="A38" s="194"/>
      <c r="B38" s="197"/>
      <c r="C38" s="66" t="s">
        <v>9</v>
      </c>
      <c r="D38" s="44">
        <v>187870</v>
      </c>
      <c r="E38" s="45">
        <f>65952+146600</f>
        <v>212552</v>
      </c>
      <c r="F38" s="45">
        <v>0</v>
      </c>
      <c r="G38" s="45">
        <f t="shared" si="1"/>
        <v>-24682</v>
      </c>
      <c r="H38" s="211"/>
      <c r="I38" s="198"/>
      <c r="J38" s="212"/>
      <c r="K38" s="210"/>
      <c r="L38"/>
      <c r="M38"/>
    </row>
    <row r="39" spans="1:21" s="1" customFormat="1" x14ac:dyDescent="0.3">
      <c r="A39" s="194" t="s">
        <v>15</v>
      </c>
      <c r="B39" s="196">
        <v>46044</v>
      </c>
      <c r="C39" s="61" t="s">
        <v>8</v>
      </c>
      <c r="D39" s="22">
        <v>186682</v>
      </c>
      <c r="E39" s="2">
        <v>46430</v>
      </c>
      <c r="F39" s="2">
        <v>0</v>
      </c>
      <c r="G39" s="2">
        <f t="shared" si="1"/>
        <v>140252</v>
      </c>
      <c r="H39" s="198">
        <f>D39+D40</f>
        <v>349482</v>
      </c>
      <c r="I39" s="198">
        <f>E39+E40+F39+F40</f>
        <v>71830</v>
      </c>
      <c r="J39" s="200">
        <f>H39-I39</f>
        <v>277652</v>
      </c>
      <c r="K39"/>
      <c r="L39"/>
      <c r="M39"/>
      <c r="N39"/>
      <c r="O39"/>
    </row>
    <row r="40" spans="1:21" s="1" customFormat="1" ht="15" thickBot="1" x14ac:dyDescent="0.35">
      <c r="A40" s="194"/>
      <c r="B40" s="197"/>
      <c r="C40" s="61" t="s">
        <v>9</v>
      </c>
      <c r="D40" s="22">
        <v>162800</v>
      </c>
      <c r="E40" s="2">
        <v>25400</v>
      </c>
      <c r="F40" s="2">
        <v>0</v>
      </c>
      <c r="G40" s="2">
        <f t="shared" si="1"/>
        <v>137400</v>
      </c>
      <c r="H40" s="198"/>
      <c r="I40" s="198"/>
      <c r="J40" s="200"/>
      <c r="K40"/>
      <c r="L40"/>
      <c r="M40"/>
      <c r="N40"/>
      <c r="O40"/>
    </row>
    <row r="41" spans="1:21" x14ac:dyDescent="0.3">
      <c r="A41" s="194" t="s">
        <v>16</v>
      </c>
      <c r="B41" s="196">
        <v>46045</v>
      </c>
      <c r="C41" s="61" t="s">
        <v>8</v>
      </c>
      <c r="D41" s="22">
        <v>192672</v>
      </c>
      <c r="E41" s="2">
        <f>30500+212100</f>
        <v>242600</v>
      </c>
      <c r="F41" s="2">
        <v>0</v>
      </c>
      <c r="G41" s="2">
        <f t="shared" si="1"/>
        <v>-49928</v>
      </c>
      <c r="H41" s="198">
        <f>D41+D42</f>
        <v>520384</v>
      </c>
      <c r="I41" s="224">
        <f>E41+E42+F41+F42</f>
        <v>504543</v>
      </c>
      <c r="J41" s="200">
        <f>H41-I41</f>
        <v>15841</v>
      </c>
    </row>
    <row r="42" spans="1:21" ht="15" thickBot="1" x14ac:dyDescent="0.35">
      <c r="A42" s="222"/>
      <c r="B42" s="197"/>
      <c r="C42" s="62" t="s">
        <v>9</v>
      </c>
      <c r="D42" s="27">
        <v>327712</v>
      </c>
      <c r="E42" s="10">
        <f>92443+69500</f>
        <v>161943</v>
      </c>
      <c r="F42" s="10">
        <v>100000</v>
      </c>
      <c r="G42" s="10">
        <f t="shared" si="1"/>
        <v>165769</v>
      </c>
      <c r="H42" s="223"/>
      <c r="I42" s="223"/>
      <c r="J42" s="225"/>
    </row>
    <row r="43" spans="1:21" x14ac:dyDescent="0.3">
      <c r="A43" s="213" t="s">
        <v>13</v>
      </c>
      <c r="B43" s="215">
        <v>46046</v>
      </c>
      <c r="C43" s="63" t="s">
        <v>8</v>
      </c>
      <c r="D43" s="54">
        <v>159813</v>
      </c>
      <c r="E43" s="48">
        <v>0</v>
      </c>
      <c r="F43" s="48">
        <v>50000</v>
      </c>
      <c r="G43" s="48">
        <f t="shared" si="1"/>
        <v>159813</v>
      </c>
      <c r="H43" s="217">
        <f>D43+D44</f>
        <v>406290</v>
      </c>
      <c r="I43" s="217">
        <f>E43+E44+F43+F44</f>
        <v>95000</v>
      </c>
      <c r="J43" s="217">
        <f>H43-I43</f>
        <v>311290</v>
      </c>
      <c r="K43" s="40"/>
      <c r="N43" s="13" t="s">
        <v>2</v>
      </c>
      <c r="O43" s="12">
        <v>1</v>
      </c>
    </row>
    <row r="44" spans="1:21" ht="15" thickBot="1" x14ac:dyDescent="0.35">
      <c r="A44" s="214"/>
      <c r="B44" s="216"/>
      <c r="C44" s="64" t="s">
        <v>35</v>
      </c>
      <c r="D44" s="55">
        <v>246477</v>
      </c>
      <c r="E44" s="49">
        <v>0</v>
      </c>
      <c r="F44" s="49">
        <f>30000+15000</f>
        <v>45000</v>
      </c>
      <c r="G44" s="49">
        <f t="shared" si="1"/>
        <v>246477</v>
      </c>
      <c r="H44" s="218"/>
      <c r="I44" s="218"/>
      <c r="J44" s="218"/>
      <c r="K44" t="s">
        <v>43</v>
      </c>
      <c r="N44" s="14" t="s">
        <v>11</v>
      </c>
      <c r="O44" s="17">
        <f>I57*100/H57/100</f>
        <v>0.7551680894632723</v>
      </c>
    </row>
    <row r="45" spans="1:21" s="1" customFormat="1" ht="14.25" customHeight="1" x14ac:dyDescent="0.3">
      <c r="A45" s="219" t="s">
        <v>17</v>
      </c>
      <c r="B45" s="196">
        <v>46048</v>
      </c>
      <c r="C45" s="60" t="s">
        <v>8</v>
      </c>
      <c r="D45" s="23">
        <v>257329</v>
      </c>
      <c r="E45" s="3">
        <v>71746</v>
      </c>
      <c r="F45" s="3">
        <v>46000</v>
      </c>
      <c r="G45" s="3">
        <f t="shared" si="1"/>
        <v>185583</v>
      </c>
      <c r="H45" s="220">
        <f>D45+D46</f>
        <v>412626</v>
      </c>
      <c r="I45" s="198">
        <f>E45+E46+F45+F46</f>
        <v>366887</v>
      </c>
      <c r="J45" s="221">
        <f>H45-I45</f>
        <v>45739</v>
      </c>
      <c r="K45"/>
      <c r="L45"/>
      <c r="M45"/>
      <c r="N45" s="15" t="s">
        <v>3</v>
      </c>
      <c r="O45" s="16">
        <f>(100%-O44)</f>
        <v>0.2448319105367277</v>
      </c>
    </row>
    <row r="46" spans="1:21" s="1" customFormat="1" ht="15" thickBot="1" x14ac:dyDescent="0.35">
      <c r="A46" s="194"/>
      <c r="B46" s="197"/>
      <c r="C46" s="61" t="s">
        <v>9</v>
      </c>
      <c r="D46" s="22">
        <v>155297</v>
      </c>
      <c r="E46" s="2">
        <v>239141</v>
      </c>
      <c r="F46" s="2">
        <v>10000</v>
      </c>
      <c r="G46" s="2">
        <f t="shared" si="1"/>
        <v>-83844</v>
      </c>
      <c r="H46" s="198"/>
      <c r="I46" s="199"/>
      <c r="J46" s="200"/>
      <c r="K46"/>
      <c r="L46"/>
      <c r="M46"/>
      <c r="N46"/>
      <c r="O46"/>
      <c r="P46"/>
      <c r="Q46"/>
    </row>
    <row r="47" spans="1:21" s="1" customFormat="1" x14ac:dyDescent="0.3">
      <c r="A47" s="194" t="s">
        <v>18</v>
      </c>
      <c r="B47" s="196">
        <v>46049</v>
      </c>
      <c r="C47" s="61" t="s">
        <v>8</v>
      </c>
      <c r="D47" s="22">
        <v>366259</v>
      </c>
      <c r="E47" s="2">
        <v>28000</v>
      </c>
      <c r="F47" s="2">
        <v>0</v>
      </c>
      <c r="G47" s="2">
        <f t="shared" si="1"/>
        <v>338259</v>
      </c>
      <c r="H47" s="198">
        <f>D47+D48</f>
        <v>560955</v>
      </c>
      <c r="I47" s="198">
        <f>E47+E48+F47+F48</f>
        <v>28000</v>
      </c>
      <c r="J47" s="200">
        <f>H47-I47</f>
        <v>532955</v>
      </c>
      <c r="K47"/>
      <c r="L47"/>
      <c r="M47"/>
      <c r="N47"/>
      <c r="O47"/>
      <c r="P47"/>
      <c r="Q47"/>
    </row>
    <row r="48" spans="1:21" s="1" customFormat="1" ht="15" thickBot="1" x14ac:dyDescent="0.35">
      <c r="A48" s="194"/>
      <c r="B48" s="197"/>
      <c r="C48" s="61" t="s">
        <v>9</v>
      </c>
      <c r="D48" s="22">
        <v>194696</v>
      </c>
      <c r="E48" s="2">
        <v>0</v>
      </c>
      <c r="F48" s="2">
        <v>0</v>
      </c>
      <c r="G48" s="2">
        <f t="shared" si="1"/>
        <v>194696</v>
      </c>
      <c r="H48" s="198"/>
      <c r="I48" s="198"/>
      <c r="J48" s="200"/>
      <c r="K48"/>
      <c r="L48"/>
      <c r="M48"/>
      <c r="N48"/>
      <c r="O48"/>
      <c r="P48"/>
      <c r="Q48"/>
    </row>
    <row r="49" spans="1:17" s="1" customFormat="1" ht="14.25" customHeight="1" x14ac:dyDescent="0.3">
      <c r="A49" s="194" t="s">
        <v>19</v>
      </c>
      <c r="B49" s="196">
        <v>46050</v>
      </c>
      <c r="C49" s="66" t="s">
        <v>8</v>
      </c>
      <c r="D49" s="44">
        <v>229930</v>
      </c>
      <c r="E49" s="45">
        <v>156998</v>
      </c>
      <c r="F49" s="45">
        <v>0</v>
      </c>
      <c r="G49" s="45">
        <f t="shared" ref="G49:G56" si="2">D49-E49</f>
        <v>72932</v>
      </c>
      <c r="H49" s="211">
        <f>D49+D50</f>
        <v>543980</v>
      </c>
      <c r="I49" s="198">
        <f>E49+E50+F49+F50</f>
        <v>170648</v>
      </c>
      <c r="J49" s="212">
        <f>H49-I49</f>
        <v>373332</v>
      </c>
      <c r="K49" s="210"/>
      <c r="L49"/>
      <c r="M49"/>
      <c r="N49"/>
      <c r="O49"/>
      <c r="P49"/>
      <c r="Q49"/>
    </row>
    <row r="50" spans="1:17" s="1" customFormat="1" ht="15" thickBot="1" x14ac:dyDescent="0.35">
      <c r="A50" s="194"/>
      <c r="B50" s="197"/>
      <c r="C50" s="66" t="s">
        <v>9</v>
      </c>
      <c r="D50" s="44">
        <v>314050</v>
      </c>
      <c r="E50" s="45">
        <v>0</v>
      </c>
      <c r="F50" s="45">
        <v>13650</v>
      </c>
      <c r="G50" s="45">
        <f t="shared" si="2"/>
        <v>314050</v>
      </c>
      <c r="H50" s="211"/>
      <c r="I50" s="198"/>
      <c r="J50" s="212"/>
      <c r="K50" s="210"/>
      <c r="L50"/>
      <c r="M50"/>
      <c r="N50"/>
      <c r="O50"/>
      <c r="P50"/>
      <c r="Q50"/>
    </row>
    <row r="51" spans="1:17" s="1" customFormat="1" x14ac:dyDescent="0.3">
      <c r="A51" s="194" t="s">
        <v>15</v>
      </c>
      <c r="B51" s="196">
        <v>46051</v>
      </c>
      <c r="C51" s="61" t="s">
        <v>8</v>
      </c>
      <c r="D51" s="22">
        <v>227551</v>
      </c>
      <c r="E51" s="2">
        <f>47530</f>
        <v>47530</v>
      </c>
      <c r="F51" s="2">
        <v>0</v>
      </c>
      <c r="G51" s="2">
        <f t="shared" si="2"/>
        <v>180021</v>
      </c>
      <c r="H51" s="198">
        <f>D51+D52</f>
        <v>472296</v>
      </c>
      <c r="I51" s="198">
        <f>E51+E52+F51+F52</f>
        <v>132530</v>
      </c>
      <c r="J51" s="200">
        <f>H51-I51</f>
        <v>339766</v>
      </c>
      <c r="K51"/>
      <c r="L51"/>
      <c r="M51"/>
      <c r="N51"/>
      <c r="O51"/>
      <c r="P51"/>
      <c r="Q51"/>
    </row>
    <row r="52" spans="1:17" s="1" customFormat="1" ht="15" thickBot="1" x14ac:dyDescent="0.35">
      <c r="A52" s="194"/>
      <c r="B52" s="197"/>
      <c r="C52" s="61" t="s">
        <v>9</v>
      </c>
      <c r="D52" s="22">
        <v>244745</v>
      </c>
      <c r="E52" s="2">
        <f>85000</f>
        <v>85000</v>
      </c>
      <c r="F52" s="2">
        <v>0</v>
      </c>
      <c r="G52" s="2">
        <f t="shared" si="2"/>
        <v>159745</v>
      </c>
      <c r="H52" s="198"/>
      <c r="I52" s="198"/>
      <c r="J52" s="200"/>
      <c r="K52"/>
      <c r="L52"/>
      <c r="M52"/>
      <c r="N52"/>
      <c r="O52"/>
      <c r="P52"/>
      <c r="Q52"/>
    </row>
    <row r="53" spans="1:17" x14ac:dyDescent="0.3">
      <c r="A53" s="194" t="s">
        <v>16</v>
      </c>
      <c r="B53" s="196">
        <v>46052</v>
      </c>
      <c r="C53" s="61" t="s">
        <v>8</v>
      </c>
      <c r="D53" s="22">
        <v>358138</v>
      </c>
      <c r="E53" s="2">
        <f>230620</f>
        <v>230620</v>
      </c>
      <c r="F53" s="2">
        <v>0</v>
      </c>
      <c r="G53" s="2">
        <f t="shared" si="2"/>
        <v>127518</v>
      </c>
      <c r="H53" s="198">
        <f>D53+D54</f>
        <v>624463</v>
      </c>
      <c r="I53" s="198">
        <f>E53+E54+F53+F54</f>
        <v>296231</v>
      </c>
      <c r="J53" s="200">
        <f>H53-I53</f>
        <v>328232</v>
      </c>
    </row>
    <row r="54" spans="1:17" ht="15" thickBot="1" x14ac:dyDescent="0.35">
      <c r="A54" s="195"/>
      <c r="B54" s="229"/>
      <c r="C54" s="79" t="s">
        <v>9</v>
      </c>
      <c r="D54" s="29">
        <v>266325</v>
      </c>
      <c r="E54" s="6">
        <v>65611</v>
      </c>
      <c r="F54" s="6">
        <v>0</v>
      </c>
      <c r="G54" s="6">
        <f t="shared" si="2"/>
        <v>200714</v>
      </c>
      <c r="H54" s="199"/>
      <c r="I54" s="199"/>
      <c r="J54" s="201"/>
    </row>
    <row r="55" spans="1:17" x14ac:dyDescent="0.3">
      <c r="A55" s="202" t="s">
        <v>13</v>
      </c>
      <c r="B55" s="204">
        <v>46053</v>
      </c>
      <c r="C55" s="77" t="s">
        <v>8</v>
      </c>
      <c r="D55" s="35">
        <v>241013</v>
      </c>
      <c r="E55" s="36">
        <v>32500</v>
      </c>
      <c r="F55" s="36">
        <v>0</v>
      </c>
      <c r="G55" s="36">
        <f t="shared" si="2"/>
        <v>208513</v>
      </c>
      <c r="H55" s="206">
        <f>D55+D56</f>
        <v>585307</v>
      </c>
      <c r="I55" s="206">
        <f>E55+E56+F55+F56</f>
        <v>799210</v>
      </c>
      <c r="J55" s="208">
        <f>H55-I55</f>
        <v>-213903</v>
      </c>
      <c r="K55" s="40"/>
    </row>
    <row r="56" spans="1:17" ht="15" thickBot="1" x14ac:dyDescent="0.35">
      <c r="A56" s="203"/>
      <c r="B56" s="205"/>
      <c r="C56" s="78" t="s">
        <v>35</v>
      </c>
      <c r="D56" s="37">
        <v>344294</v>
      </c>
      <c r="E56" s="38">
        <v>0</v>
      </c>
      <c r="F56" s="38">
        <f>766710</f>
        <v>766710</v>
      </c>
      <c r="G56" s="38">
        <f t="shared" si="2"/>
        <v>344294</v>
      </c>
      <c r="H56" s="207"/>
      <c r="I56" s="207"/>
      <c r="J56" s="209"/>
      <c r="K56" t="s">
        <v>43</v>
      </c>
    </row>
    <row r="57" spans="1:17" s="1" customFormat="1" ht="15" thickBot="1" x14ac:dyDescent="0.35">
      <c r="A57"/>
      <c r="B57" s="190" t="s">
        <v>10</v>
      </c>
      <c r="C57" s="191"/>
      <c r="D57" s="159">
        <f>SUM(D3:D56)</f>
        <v>12780932</v>
      </c>
      <c r="E57" s="159">
        <f t="shared" ref="E57:J57" si="3">SUM(E3:E56)</f>
        <v>5476789</v>
      </c>
      <c r="F57" s="159">
        <f t="shared" si="3"/>
        <v>4174963</v>
      </c>
      <c r="G57" s="159">
        <f t="shared" si="3"/>
        <v>7304143</v>
      </c>
      <c r="H57" s="159">
        <f t="shared" si="3"/>
        <v>12780932</v>
      </c>
      <c r="I57" s="159">
        <f t="shared" si="3"/>
        <v>9651752</v>
      </c>
      <c r="J57" s="159">
        <f t="shared" si="3"/>
        <v>3129180</v>
      </c>
      <c r="K57"/>
      <c r="L57" s="39"/>
      <c r="M57"/>
      <c r="N57"/>
      <c r="O57"/>
      <c r="P57"/>
    </row>
    <row r="58" spans="1:17" s="1" customFormat="1" x14ac:dyDescent="0.3">
      <c r="A58"/>
      <c r="K58"/>
      <c r="L58" s="39"/>
      <c r="M58"/>
      <c r="N58"/>
      <c r="O58"/>
      <c r="P58"/>
    </row>
    <row r="59" spans="1:17" s="1" customFormat="1" x14ac:dyDescent="0.3">
      <c r="A59"/>
      <c r="K59"/>
      <c r="L59" s="39"/>
      <c r="M59"/>
      <c r="N59"/>
      <c r="O59"/>
    </row>
    <row r="60" spans="1:17" s="1" customFormat="1" x14ac:dyDescent="0.3">
      <c r="A60"/>
      <c r="K60"/>
      <c r="L60" s="39"/>
      <c r="M60"/>
      <c r="N60"/>
      <c r="O60"/>
    </row>
    <row r="61" spans="1:17" s="1" customFormat="1" x14ac:dyDescent="0.3">
      <c r="A61"/>
      <c r="K61"/>
      <c r="L61" s="39"/>
      <c r="M61"/>
      <c r="N61"/>
      <c r="O61"/>
    </row>
    <row r="62" spans="1:17" x14ac:dyDescent="0.3">
      <c r="L62" s="39"/>
    </row>
    <row r="63" spans="1:17" x14ac:dyDescent="0.3">
      <c r="D63" s="20" t="s">
        <v>21</v>
      </c>
      <c r="E63" s="2">
        <f>MAXA(H3:H40)</f>
        <v>827120</v>
      </c>
      <c r="F63" s="2"/>
      <c r="G63" s="187"/>
      <c r="H63" s="187"/>
      <c r="L63" s="39"/>
    </row>
    <row r="64" spans="1:17" x14ac:dyDescent="0.3">
      <c r="D64" s="21" t="s">
        <v>22</v>
      </c>
      <c r="E64" s="2">
        <f>IF(MINA(D3:D48)&lt;&gt;0, MINA(D3:D48))</f>
        <v>122821</v>
      </c>
      <c r="F64" s="2"/>
      <c r="G64" s="187"/>
      <c r="H64" s="187"/>
      <c r="L64" s="39"/>
    </row>
    <row r="65" spans="1:18" s="1" customFormat="1" x14ac:dyDescent="0.3">
      <c r="A65"/>
      <c r="C65" s="1" t="s">
        <v>20</v>
      </c>
      <c r="K65"/>
      <c r="L65"/>
      <c r="M65"/>
      <c r="N65"/>
      <c r="O65"/>
    </row>
    <row r="66" spans="1:18" x14ac:dyDescent="0.3">
      <c r="D66" s="192" t="s">
        <v>36</v>
      </c>
      <c r="E66" s="18">
        <f>AVERAGEA(H3:H8)</f>
        <v>243181.66666666666</v>
      </c>
      <c r="F66" s="18"/>
      <c r="G66" s="187" t="s">
        <v>23</v>
      </c>
      <c r="H66" s="187"/>
      <c r="J66" s="193" t="s">
        <v>37</v>
      </c>
      <c r="K66" s="18">
        <f>AVERAGEA(I3:I7)</f>
        <v>451137.66666666669</v>
      </c>
      <c r="L66" s="187" t="s">
        <v>23</v>
      </c>
      <c r="M66" s="187"/>
      <c r="O66" s="188" t="s">
        <v>38</v>
      </c>
      <c r="P66" s="18">
        <f>AVERAGEA(J3:J8)</f>
        <v>-207956</v>
      </c>
      <c r="Q66" s="187" t="s">
        <v>23</v>
      </c>
      <c r="R66" s="187"/>
    </row>
    <row r="67" spans="1:18" x14ac:dyDescent="0.3">
      <c r="D67" s="192"/>
      <c r="E67" s="18">
        <f>AVERAGEA(H9:H20)</f>
        <v>610348.83333333337</v>
      </c>
      <c r="F67" s="18"/>
      <c r="G67" s="187" t="s">
        <v>24</v>
      </c>
      <c r="H67" s="187"/>
      <c r="J67" s="193"/>
      <c r="K67" s="18">
        <f>AVERAGEA(I9:I20)</f>
        <v>339372.5</v>
      </c>
      <c r="L67" s="187" t="s">
        <v>24</v>
      </c>
      <c r="M67" s="187"/>
      <c r="O67" s="188"/>
      <c r="P67" s="18">
        <f>AVERAGEA(J9:J20)</f>
        <v>270976.33333333331</v>
      </c>
      <c r="Q67" s="187" t="s">
        <v>24</v>
      </c>
      <c r="R67" s="187"/>
    </row>
    <row r="68" spans="1:18" x14ac:dyDescent="0.3">
      <c r="D68" s="192"/>
      <c r="E68" s="18">
        <f>AVERAGEA(H21:H32)</f>
        <v>450585.83333333331</v>
      </c>
      <c r="F68" s="18"/>
      <c r="G68" s="187" t="s">
        <v>25</v>
      </c>
      <c r="H68" s="187"/>
      <c r="J68" s="193"/>
      <c r="K68" s="18">
        <f>AVERAGEA(I21:I32)</f>
        <v>489743.66666666669</v>
      </c>
      <c r="L68" s="187" t="s">
        <v>25</v>
      </c>
      <c r="M68" s="187"/>
      <c r="O68" s="188"/>
      <c r="P68" s="18">
        <f>AVERAGEA(J21:J32)</f>
        <v>-39157.833333333336</v>
      </c>
      <c r="Q68" s="187" t="s">
        <v>25</v>
      </c>
      <c r="R68" s="187"/>
    </row>
    <row r="69" spans="1:18" x14ac:dyDescent="0.3">
      <c r="D69" s="192"/>
      <c r="E69" s="18">
        <f>AVERAGEA(H33:H44)</f>
        <v>414358.66666666669</v>
      </c>
      <c r="F69" s="160"/>
      <c r="G69" s="184" t="s">
        <v>26</v>
      </c>
      <c r="H69" s="185"/>
      <c r="J69" s="193"/>
      <c r="K69" s="18">
        <f>AVERAGEA(I33:I44)</f>
        <v>255022.66666666666</v>
      </c>
      <c r="L69" s="184" t="s">
        <v>26</v>
      </c>
      <c r="M69" s="185"/>
      <c r="O69" s="188"/>
      <c r="P69" s="18">
        <f>AVERAGEA(J33:J44)</f>
        <v>159336</v>
      </c>
      <c r="Q69" s="184" t="s">
        <v>26</v>
      </c>
      <c r="R69" s="185"/>
    </row>
    <row r="70" spans="1:18" x14ac:dyDescent="0.3">
      <c r="D70" s="192"/>
      <c r="E70" s="18">
        <f>AVERAGEA(H45:H48)</f>
        <v>486790.5</v>
      </c>
      <c r="F70" s="160"/>
      <c r="G70" s="184" t="s">
        <v>34</v>
      </c>
      <c r="H70" s="185"/>
      <c r="J70" s="193"/>
      <c r="K70" s="18">
        <f>AVERAGEA(I45:I48)</f>
        <v>197443.5</v>
      </c>
      <c r="L70" s="184" t="s">
        <v>34</v>
      </c>
      <c r="M70" s="185"/>
      <c r="O70" s="188"/>
      <c r="P70" s="18">
        <f>AVERAGEA(J45:J48)</f>
        <v>289347</v>
      </c>
      <c r="Q70" s="184" t="s">
        <v>34</v>
      </c>
      <c r="R70" s="185"/>
    </row>
    <row r="71" spans="1:18" x14ac:dyDescent="0.3">
      <c r="D71" s="192"/>
      <c r="E71" s="28">
        <f>AVERAGEA(E66:E69)</f>
        <v>429618.75</v>
      </c>
      <c r="F71" s="28"/>
      <c r="G71" s="186" t="s">
        <v>10</v>
      </c>
      <c r="H71" s="186"/>
      <c r="J71" s="193"/>
      <c r="K71" s="28">
        <f>AVERAGEA(K66:K69)</f>
        <v>383819.12500000006</v>
      </c>
      <c r="L71" s="186" t="s">
        <v>10</v>
      </c>
      <c r="M71" s="186"/>
      <c r="O71" s="189"/>
      <c r="P71" s="28">
        <f>AVERAGEA(P66:P69)</f>
        <v>45799.624999999993</v>
      </c>
      <c r="Q71" s="186" t="s">
        <v>10</v>
      </c>
      <c r="R71" s="186"/>
    </row>
    <row r="73" spans="1:18" x14ac:dyDescent="0.3">
      <c r="D73"/>
      <c r="E73"/>
      <c r="F73"/>
      <c r="G73"/>
      <c r="H73"/>
      <c r="I73"/>
      <c r="J73"/>
    </row>
    <row r="74" spans="1:18" s="1" customFormat="1" x14ac:dyDescent="0.3">
      <c r="A74"/>
      <c r="D74"/>
      <c r="E74"/>
      <c r="F74"/>
      <c r="G74"/>
      <c r="H74"/>
      <c r="I74"/>
      <c r="J74"/>
      <c r="K74"/>
      <c r="L74"/>
      <c r="M74"/>
      <c r="N74"/>
      <c r="O74"/>
    </row>
    <row r="75" spans="1:18" x14ac:dyDescent="0.3">
      <c r="D75"/>
      <c r="E75"/>
      <c r="F75"/>
      <c r="G75"/>
      <c r="H75"/>
      <c r="I75"/>
      <c r="J75"/>
    </row>
    <row r="76" spans="1:18" ht="27" customHeight="1" x14ac:dyDescent="0.3">
      <c r="D76"/>
      <c r="E76"/>
      <c r="F76"/>
      <c r="G76"/>
      <c r="H76"/>
      <c r="I76"/>
      <c r="J76"/>
    </row>
    <row r="77" spans="1:18" x14ac:dyDescent="0.3">
      <c r="D77"/>
      <c r="E77"/>
      <c r="F77"/>
      <c r="G77"/>
      <c r="H77"/>
      <c r="I77"/>
      <c r="J77"/>
    </row>
    <row r="78" spans="1:18" x14ac:dyDescent="0.3">
      <c r="D78"/>
      <c r="E78"/>
      <c r="F78"/>
      <c r="G78"/>
      <c r="H78"/>
      <c r="I78"/>
      <c r="J78"/>
    </row>
    <row r="79" spans="1:18" x14ac:dyDescent="0.3">
      <c r="D79"/>
      <c r="E79"/>
      <c r="F79"/>
      <c r="G79"/>
      <c r="H79"/>
      <c r="I79"/>
      <c r="J79"/>
    </row>
    <row r="80" spans="1:18" x14ac:dyDescent="0.3">
      <c r="D80"/>
      <c r="E80"/>
      <c r="F80"/>
      <c r="G80"/>
      <c r="H80"/>
      <c r="I80"/>
      <c r="J80"/>
    </row>
    <row r="81" spans="4:10" x14ac:dyDescent="0.3">
      <c r="D81"/>
      <c r="E81"/>
      <c r="F81"/>
      <c r="G81"/>
      <c r="H81"/>
      <c r="I81"/>
      <c r="J81"/>
    </row>
    <row r="82" spans="4:10" x14ac:dyDescent="0.3">
      <c r="D82"/>
      <c r="E82"/>
      <c r="F82"/>
      <c r="G82"/>
      <c r="H82"/>
      <c r="I82"/>
      <c r="J82"/>
    </row>
    <row r="83" spans="4:10" x14ac:dyDescent="0.3">
      <c r="D83"/>
      <c r="E83"/>
      <c r="F83"/>
      <c r="G83"/>
      <c r="H83"/>
      <c r="I83"/>
      <c r="J83"/>
    </row>
  </sheetData>
  <autoFilter ref="B2:J57" xr:uid="{00000000-0009-0000-0000-000000000000}"/>
  <mergeCells count="168">
    <mergeCell ref="B57:C57"/>
    <mergeCell ref="G63:H63"/>
    <mergeCell ref="G64:H64"/>
    <mergeCell ref="D66:D71"/>
    <mergeCell ref="A45:A46"/>
    <mergeCell ref="B45:B46"/>
    <mergeCell ref="J53:J54"/>
    <mergeCell ref="K17:K18"/>
    <mergeCell ref="K49:K50"/>
    <mergeCell ref="A51:A52"/>
    <mergeCell ref="B51:B52"/>
    <mergeCell ref="H51:H52"/>
    <mergeCell ref="I51:I52"/>
    <mergeCell ref="J51:J52"/>
    <mergeCell ref="A49:A50"/>
    <mergeCell ref="B49:B50"/>
    <mergeCell ref="H49:H50"/>
    <mergeCell ref="I49:I50"/>
    <mergeCell ref="J49:J50"/>
    <mergeCell ref="A53:A54"/>
    <mergeCell ref="B53:B54"/>
    <mergeCell ref="H53:H54"/>
    <mergeCell ref="I53:I54"/>
    <mergeCell ref="H45:H46"/>
    <mergeCell ref="L69:M69"/>
    <mergeCell ref="Q69:R69"/>
    <mergeCell ref="G70:H70"/>
    <mergeCell ref="L70:M70"/>
    <mergeCell ref="Q70:R70"/>
    <mergeCell ref="G71:H71"/>
    <mergeCell ref="L71:M71"/>
    <mergeCell ref="Q71:R71"/>
    <mergeCell ref="L66:M66"/>
    <mergeCell ref="O66:O71"/>
    <mergeCell ref="Q66:R66"/>
    <mergeCell ref="G67:H67"/>
    <mergeCell ref="L67:M67"/>
    <mergeCell ref="Q67:R67"/>
    <mergeCell ref="G68:H68"/>
    <mergeCell ref="L68:M68"/>
    <mergeCell ref="Q68:R68"/>
    <mergeCell ref="G69:H69"/>
    <mergeCell ref="G66:H66"/>
    <mergeCell ref="J66:J71"/>
    <mergeCell ref="I45:I46"/>
    <mergeCell ref="J45:J46"/>
    <mergeCell ref="A47:A48"/>
    <mergeCell ref="B47:B48"/>
    <mergeCell ref="H47:H48"/>
    <mergeCell ref="I47:I48"/>
    <mergeCell ref="J47:J48"/>
    <mergeCell ref="A41:A42"/>
    <mergeCell ref="B41:B42"/>
    <mergeCell ref="H41:H42"/>
    <mergeCell ref="I41:I42"/>
    <mergeCell ref="J41:J42"/>
    <mergeCell ref="A43:A44"/>
    <mergeCell ref="B43:B44"/>
    <mergeCell ref="H43:H44"/>
    <mergeCell ref="I43:I44"/>
    <mergeCell ref="J43:J44"/>
    <mergeCell ref="A33:A34"/>
    <mergeCell ref="B33:B34"/>
    <mergeCell ref="H33:H34"/>
    <mergeCell ref="I33:I34"/>
    <mergeCell ref="J33:J34"/>
    <mergeCell ref="K37:K38"/>
    <mergeCell ref="A39:A40"/>
    <mergeCell ref="B39:B40"/>
    <mergeCell ref="H39:H40"/>
    <mergeCell ref="I39:I40"/>
    <mergeCell ref="J39:J40"/>
    <mergeCell ref="A35:A36"/>
    <mergeCell ref="B35:B36"/>
    <mergeCell ref="H35:H36"/>
    <mergeCell ref="I35:I36"/>
    <mergeCell ref="J35:J36"/>
    <mergeCell ref="A37:A38"/>
    <mergeCell ref="B37:B38"/>
    <mergeCell ref="H37:H38"/>
    <mergeCell ref="I37:I38"/>
    <mergeCell ref="J37:J38"/>
    <mergeCell ref="A29:A30"/>
    <mergeCell ref="B29:B30"/>
    <mergeCell ref="H29:H30"/>
    <mergeCell ref="I29:I30"/>
    <mergeCell ref="J29:J30"/>
    <mergeCell ref="A31:A32"/>
    <mergeCell ref="B31:B32"/>
    <mergeCell ref="H31:H32"/>
    <mergeCell ref="I31:I32"/>
    <mergeCell ref="J31:J32"/>
    <mergeCell ref="A25:A26"/>
    <mergeCell ref="B25:B26"/>
    <mergeCell ref="H25:H26"/>
    <mergeCell ref="I25:I26"/>
    <mergeCell ref="J25:J26"/>
    <mergeCell ref="A27:A28"/>
    <mergeCell ref="B27:B28"/>
    <mergeCell ref="H27:H28"/>
    <mergeCell ref="I27:I28"/>
    <mergeCell ref="J27:J28"/>
    <mergeCell ref="A21:A22"/>
    <mergeCell ref="B21:B22"/>
    <mergeCell ref="H21:H22"/>
    <mergeCell ref="I21:I22"/>
    <mergeCell ref="J21:J22"/>
    <mergeCell ref="A23:A24"/>
    <mergeCell ref="B23:B24"/>
    <mergeCell ref="H23:H24"/>
    <mergeCell ref="I23:I24"/>
    <mergeCell ref="J23:J24"/>
    <mergeCell ref="A17:A18"/>
    <mergeCell ref="B17:B18"/>
    <mergeCell ref="H17:H18"/>
    <mergeCell ref="I17:I18"/>
    <mergeCell ref="J17:J18"/>
    <mergeCell ref="A19:A20"/>
    <mergeCell ref="B19:B20"/>
    <mergeCell ref="H19:H20"/>
    <mergeCell ref="I19:I20"/>
    <mergeCell ref="J19:J20"/>
    <mergeCell ref="A13:A14"/>
    <mergeCell ref="B13:B14"/>
    <mergeCell ref="H13:H14"/>
    <mergeCell ref="I13:I14"/>
    <mergeCell ref="J13:J14"/>
    <mergeCell ref="A15:A16"/>
    <mergeCell ref="B15:B16"/>
    <mergeCell ref="H15:H16"/>
    <mergeCell ref="I15:I16"/>
    <mergeCell ref="J15:J16"/>
    <mergeCell ref="I7:I8"/>
    <mergeCell ref="J7:J8"/>
    <mergeCell ref="A9:A10"/>
    <mergeCell ref="B9:B10"/>
    <mergeCell ref="H9:H10"/>
    <mergeCell ref="I9:I10"/>
    <mergeCell ref="J9:J10"/>
    <mergeCell ref="A11:A12"/>
    <mergeCell ref="B11:B12"/>
    <mergeCell ref="H11:H12"/>
    <mergeCell ref="I11:I12"/>
    <mergeCell ref="J11:J12"/>
    <mergeCell ref="A55:A56"/>
    <mergeCell ref="B55:B56"/>
    <mergeCell ref="H55:H56"/>
    <mergeCell ref="I55:I56"/>
    <mergeCell ref="J55:J56"/>
    <mergeCell ref="K3:K4"/>
    <mergeCell ref="A1:A2"/>
    <mergeCell ref="B1:B2"/>
    <mergeCell ref="C1:C2"/>
    <mergeCell ref="D1:G1"/>
    <mergeCell ref="H1:J1"/>
    <mergeCell ref="A3:A4"/>
    <mergeCell ref="B3:B4"/>
    <mergeCell ref="H3:H4"/>
    <mergeCell ref="I3:I4"/>
    <mergeCell ref="J3:J4"/>
    <mergeCell ref="A5:A6"/>
    <mergeCell ref="B5:B6"/>
    <mergeCell ref="H5:H6"/>
    <mergeCell ref="I5:I6"/>
    <mergeCell ref="J5:J6"/>
    <mergeCell ref="A7:A8"/>
    <mergeCell ref="B7:B8"/>
    <mergeCell ref="H7:H8"/>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E00B0-7FF9-425F-A88A-D27829E9C7F2}">
  <sheetPr>
    <tabColor rgb="FF92D050"/>
  </sheetPr>
  <dimension ref="A1:U77"/>
  <sheetViews>
    <sheetView showGridLines="0" tabSelected="1" zoomScale="85" zoomScaleNormal="85" workbookViewId="0">
      <pane xSplit="3" ySplit="2" topLeftCell="D23" activePane="bottomRight" state="frozen"/>
      <selection activeCell="L46" sqref="L46"/>
      <selection pane="topRight" activeCell="L46" sqref="L46"/>
      <selection pane="bottomLeft" activeCell="L46" sqref="L46"/>
      <selection pane="bottomRight" activeCell="K29" sqref="K29"/>
    </sheetView>
  </sheetViews>
  <sheetFormatPr baseColWidth="10" defaultRowHeight="14.4" x14ac:dyDescent="0.3"/>
  <cols>
    <col min="1" max="1" width="8.88671875" customWidth="1"/>
    <col min="2" max="2" width="10.88671875" style="1" customWidth="1"/>
    <col min="3" max="3" width="8.88671875" style="1" customWidth="1"/>
    <col min="4" max="4" width="13.33203125" style="1" customWidth="1"/>
    <col min="5" max="5" width="11" style="1" customWidth="1"/>
    <col min="6" max="6" width="10.88671875" style="1" customWidth="1"/>
    <col min="7" max="7" width="11.109375" style="1" customWidth="1"/>
    <col min="8" max="8" width="11.44140625" style="1" customWidth="1"/>
    <col min="9" max="9" width="13.44140625" style="1" customWidth="1"/>
    <col min="10" max="10" width="10.6640625" style="1" customWidth="1"/>
    <col min="11" max="11" width="12" bestFit="1" customWidth="1"/>
    <col min="12" max="12" width="12.33203125" bestFit="1" customWidth="1"/>
    <col min="16" max="16" width="12.5546875" bestFit="1" customWidth="1"/>
  </cols>
  <sheetData>
    <row r="1" spans="1:10" x14ac:dyDescent="0.3">
      <c r="A1" s="241" t="s">
        <v>12</v>
      </c>
      <c r="B1" s="241" t="s">
        <v>0</v>
      </c>
      <c r="C1" s="241" t="s">
        <v>1</v>
      </c>
      <c r="D1" s="243" t="s">
        <v>7</v>
      </c>
      <c r="E1" s="244"/>
      <c r="F1" s="244"/>
      <c r="G1" s="244"/>
      <c r="H1" s="245" t="s">
        <v>10</v>
      </c>
      <c r="I1" s="246"/>
      <c r="J1" s="247"/>
    </row>
    <row r="2" spans="1:10" ht="29.25" customHeight="1" thickBot="1" x14ac:dyDescent="0.35">
      <c r="A2" s="242"/>
      <c r="B2" s="242"/>
      <c r="C2" s="242"/>
      <c r="D2" s="164" t="s">
        <v>4</v>
      </c>
      <c r="E2" s="163" t="s">
        <v>67</v>
      </c>
      <c r="F2" s="162" t="s">
        <v>68</v>
      </c>
      <c r="G2" s="161" t="s">
        <v>6</v>
      </c>
      <c r="H2" s="8" t="s">
        <v>2</v>
      </c>
      <c r="I2" s="5" t="s">
        <v>69</v>
      </c>
      <c r="J2" s="9" t="s">
        <v>3</v>
      </c>
    </row>
    <row r="3" spans="1:10" x14ac:dyDescent="0.3">
      <c r="A3" s="219" t="s">
        <v>17</v>
      </c>
      <c r="B3" s="196">
        <v>46055</v>
      </c>
      <c r="C3" s="60" t="s">
        <v>8</v>
      </c>
      <c r="D3" s="23">
        <v>209865</v>
      </c>
      <c r="E3" s="3">
        <v>233452</v>
      </c>
      <c r="F3" s="2">
        <v>0</v>
      </c>
      <c r="G3" s="2">
        <f>D3-E3-F3</f>
        <v>-23587</v>
      </c>
      <c r="H3" s="198">
        <f>D3+D4</f>
        <v>525840</v>
      </c>
      <c r="I3" s="198">
        <f>E3+E4+F3+F4</f>
        <v>233452</v>
      </c>
      <c r="J3" s="221">
        <f>H3-I3</f>
        <v>292388</v>
      </c>
    </row>
    <row r="4" spans="1:10" ht="15" thickBot="1" x14ac:dyDescent="0.35">
      <c r="A4" s="194"/>
      <c r="B4" s="197"/>
      <c r="C4" s="61" t="s">
        <v>9</v>
      </c>
      <c r="D4" s="22">
        <v>315975</v>
      </c>
      <c r="E4" s="2">
        <v>0</v>
      </c>
      <c r="F4" s="2">
        <v>0</v>
      </c>
      <c r="G4" s="2">
        <f t="shared" ref="G4:G50" si="0">D4-E4-F4</f>
        <v>315975</v>
      </c>
      <c r="H4" s="198"/>
      <c r="I4" s="198"/>
      <c r="J4" s="200"/>
    </row>
    <row r="5" spans="1:10" x14ac:dyDescent="0.3">
      <c r="A5" s="194" t="s">
        <v>18</v>
      </c>
      <c r="B5" s="196">
        <v>46056</v>
      </c>
      <c r="C5" s="61" t="s">
        <v>8</v>
      </c>
      <c r="D5" s="22">
        <v>349390</v>
      </c>
      <c r="E5" s="2">
        <f>88413+21000+88181+88800</f>
        <v>286394</v>
      </c>
      <c r="F5" s="2">
        <v>0</v>
      </c>
      <c r="G5" s="2">
        <f t="shared" si="0"/>
        <v>62996</v>
      </c>
      <c r="H5" s="198">
        <f>D5+D6</f>
        <v>724147</v>
      </c>
      <c r="I5" s="198">
        <f>E5+E6+F5+F6</f>
        <v>634494</v>
      </c>
      <c r="J5" s="200">
        <f>H5-I5</f>
        <v>89653</v>
      </c>
    </row>
    <row r="6" spans="1:10" ht="15" thickBot="1" x14ac:dyDescent="0.35">
      <c r="A6" s="194"/>
      <c r="B6" s="197"/>
      <c r="C6" s="61" t="s">
        <v>9</v>
      </c>
      <c r="D6" s="22">
        <v>374757</v>
      </c>
      <c r="E6" s="2">
        <f>212700+35400</f>
        <v>248100</v>
      </c>
      <c r="F6" s="2">
        <v>100000</v>
      </c>
      <c r="G6" s="2">
        <f t="shared" si="0"/>
        <v>26657</v>
      </c>
      <c r="H6" s="198"/>
      <c r="I6" s="198"/>
      <c r="J6" s="200"/>
    </row>
    <row r="7" spans="1:10" x14ac:dyDescent="0.3">
      <c r="A7" s="194" t="s">
        <v>19</v>
      </c>
      <c r="B7" s="196">
        <v>46057</v>
      </c>
      <c r="C7" s="61" t="s">
        <v>8</v>
      </c>
      <c r="D7" s="22">
        <v>466921</v>
      </c>
      <c r="E7" s="2">
        <v>245164</v>
      </c>
      <c r="F7" s="2">
        <v>0</v>
      </c>
      <c r="G7" s="2">
        <f t="shared" si="0"/>
        <v>221757</v>
      </c>
      <c r="H7" s="198">
        <f>D7+D8</f>
        <v>819228</v>
      </c>
      <c r="I7" s="198">
        <f>E7+E8+F7+F8</f>
        <v>745164</v>
      </c>
      <c r="J7" s="200">
        <f>H7-I7</f>
        <v>74064</v>
      </c>
    </row>
    <row r="8" spans="1:10" ht="15" thickBot="1" x14ac:dyDescent="0.35">
      <c r="A8" s="194"/>
      <c r="B8" s="197"/>
      <c r="C8" s="61" t="s">
        <v>9</v>
      </c>
      <c r="D8" s="22">
        <v>352307</v>
      </c>
      <c r="E8" s="2">
        <v>0</v>
      </c>
      <c r="F8" s="2">
        <v>500000</v>
      </c>
      <c r="G8" s="2">
        <f t="shared" si="0"/>
        <v>-147693</v>
      </c>
      <c r="H8" s="198"/>
      <c r="I8" s="198"/>
      <c r="J8" s="200"/>
    </row>
    <row r="9" spans="1:10" x14ac:dyDescent="0.3">
      <c r="A9" s="194" t="s">
        <v>15</v>
      </c>
      <c r="B9" s="196">
        <v>46058</v>
      </c>
      <c r="C9" s="61" t="s">
        <v>8</v>
      </c>
      <c r="D9" s="22">
        <v>395389</v>
      </c>
      <c r="E9" s="2">
        <f>79078+40269+57080+26200</f>
        <v>202627</v>
      </c>
      <c r="F9" s="2">
        <v>0</v>
      </c>
      <c r="G9" s="2">
        <f t="shared" si="0"/>
        <v>192762</v>
      </c>
      <c r="H9" s="198">
        <f>D9+D10</f>
        <v>905031</v>
      </c>
      <c r="I9" s="198">
        <f>E9+E10+F9+F10</f>
        <v>349246</v>
      </c>
      <c r="J9" s="200">
        <f>H9-I9</f>
        <v>555785</v>
      </c>
    </row>
    <row r="10" spans="1:10" ht="15" thickBot="1" x14ac:dyDescent="0.35">
      <c r="A10" s="194"/>
      <c r="B10" s="197"/>
      <c r="C10" s="61" t="s">
        <v>9</v>
      </c>
      <c r="D10" s="22">
        <v>509642</v>
      </c>
      <c r="E10" s="2">
        <v>146619</v>
      </c>
      <c r="F10" s="2">
        <v>0</v>
      </c>
      <c r="G10" s="2">
        <f t="shared" si="0"/>
        <v>363023</v>
      </c>
      <c r="H10" s="198"/>
      <c r="I10" s="198"/>
      <c r="J10" s="200"/>
    </row>
    <row r="11" spans="1:10" x14ac:dyDescent="0.3">
      <c r="A11" s="234" t="s">
        <v>16</v>
      </c>
      <c r="B11" s="196">
        <v>46059</v>
      </c>
      <c r="C11" s="67" t="s">
        <v>8</v>
      </c>
      <c r="D11" s="68">
        <v>366147</v>
      </c>
      <c r="E11" s="69">
        <f>353496</f>
        <v>353496</v>
      </c>
      <c r="F11" s="69">
        <v>0</v>
      </c>
      <c r="G11" s="2">
        <f t="shared" si="0"/>
        <v>12651</v>
      </c>
      <c r="H11" s="236">
        <f>D11+D12</f>
        <v>769716</v>
      </c>
      <c r="I11" s="198">
        <f>E11+E12+F11+F12</f>
        <v>557746</v>
      </c>
      <c r="J11" s="238">
        <f>H11-I11</f>
        <v>211970</v>
      </c>
    </row>
    <row r="12" spans="1:10" ht="15" thickBot="1" x14ac:dyDescent="0.35">
      <c r="A12" s="235"/>
      <c r="B12" s="229"/>
      <c r="C12" s="81" t="s">
        <v>9</v>
      </c>
      <c r="D12" s="179">
        <v>403569</v>
      </c>
      <c r="E12" s="82">
        <f>54250</f>
        <v>54250</v>
      </c>
      <c r="F12" s="82">
        <v>150000</v>
      </c>
      <c r="G12" s="6">
        <f t="shared" si="0"/>
        <v>199319</v>
      </c>
      <c r="H12" s="237"/>
      <c r="I12" s="199"/>
      <c r="J12" s="239"/>
    </row>
    <row r="13" spans="1:10" x14ac:dyDescent="0.3">
      <c r="A13" s="250" t="s">
        <v>13</v>
      </c>
      <c r="B13" s="252">
        <v>46060</v>
      </c>
      <c r="C13" s="83" t="s">
        <v>8</v>
      </c>
      <c r="D13" s="33">
        <v>173311</v>
      </c>
      <c r="E13" s="31">
        <v>37000</v>
      </c>
      <c r="F13" s="31">
        <f>30000+32000+8000+154000</f>
        <v>224000</v>
      </c>
      <c r="G13" s="31">
        <f t="shared" si="0"/>
        <v>-87689</v>
      </c>
      <c r="H13" s="230">
        <f>D13+D14</f>
        <v>337095</v>
      </c>
      <c r="I13" s="230">
        <f>E13+E14+F13+F14</f>
        <v>371000</v>
      </c>
      <c r="J13" s="232">
        <f>H13-I13</f>
        <v>-33905</v>
      </c>
    </row>
    <row r="14" spans="1:10" ht="15" thickBot="1" x14ac:dyDescent="0.35">
      <c r="A14" s="251"/>
      <c r="B14" s="253"/>
      <c r="C14" s="84" t="s">
        <v>9</v>
      </c>
      <c r="D14" s="34">
        <v>163784</v>
      </c>
      <c r="E14" s="32">
        <v>0</v>
      </c>
      <c r="F14" s="32">
        <f>80000+30000</f>
        <v>110000</v>
      </c>
      <c r="G14" s="180">
        <f t="shared" si="0"/>
        <v>53784</v>
      </c>
      <c r="H14" s="231"/>
      <c r="I14" s="231"/>
      <c r="J14" s="233"/>
    </row>
    <row r="15" spans="1:10" x14ac:dyDescent="0.3">
      <c r="A15" s="226" t="s">
        <v>17</v>
      </c>
      <c r="B15" s="227">
        <v>46062</v>
      </c>
      <c r="C15" s="76" t="s">
        <v>8</v>
      </c>
      <c r="D15" s="30">
        <v>321486</v>
      </c>
      <c r="E15" s="11">
        <f>158343</f>
        <v>158343</v>
      </c>
      <c r="F15" s="11">
        <f>82000</f>
        <v>82000</v>
      </c>
      <c r="G15" s="11">
        <f t="shared" si="0"/>
        <v>81143</v>
      </c>
      <c r="H15" s="224">
        <f>D15+D16</f>
        <v>655625</v>
      </c>
      <c r="I15" s="224">
        <f>E15+E16+F15+F16</f>
        <v>290612</v>
      </c>
      <c r="J15" s="228">
        <f>H15-I15</f>
        <v>365013</v>
      </c>
    </row>
    <row r="16" spans="1:10" ht="15" thickBot="1" x14ac:dyDescent="0.35">
      <c r="A16" s="194"/>
      <c r="B16" s="197"/>
      <c r="C16" s="61" t="s">
        <v>9</v>
      </c>
      <c r="D16" s="22">
        <v>334139</v>
      </c>
      <c r="E16" s="2">
        <v>40269</v>
      </c>
      <c r="F16" s="2">
        <v>10000</v>
      </c>
      <c r="G16" s="2">
        <f t="shared" si="0"/>
        <v>283870</v>
      </c>
      <c r="H16" s="198"/>
      <c r="I16" s="199"/>
      <c r="J16" s="200"/>
    </row>
    <row r="17" spans="1:21" x14ac:dyDescent="0.3">
      <c r="A17" s="194" t="s">
        <v>18</v>
      </c>
      <c r="B17" s="196">
        <v>46063</v>
      </c>
      <c r="C17" s="61" t="s">
        <v>8</v>
      </c>
      <c r="D17" s="22">
        <v>233300</v>
      </c>
      <c r="E17" s="2">
        <f>22757</f>
        <v>22757</v>
      </c>
      <c r="F17" s="2">
        <v>710000</v>
      </c>
      <c r="G17" s="2">
        <f t="shared" si="0"/>
        <v>-499457</v>
      </c>
      <c r="H17" s="198">
        <f>D17+D18</f>
        <v>488803</v>
      </c>
      <c r="I17" s="198">
        <f>E17+E18+F17+F18</f>
        <v>760757</v>
      </c>
      <c r="J17" s="200">
        <f>H17-I17</f>
        <v>-271954</v>
      </c>
      <c r="K17" s="248" t="s">
        <v>42</v>
      </c>
    </row>
    <row r="18" spans="1:21" ht="15" thickBot="1" x14ac:dyDescent="0.35">
      <c r="A18" s="194"/>
      <c r="B18" s="197"/>
      <c r="C18" s="61" t="s">
        <v>9</v>
      </c>
      <c r="D18" s="22">
        <v>255503</v>
      </c>
      <c r="E18" s="2">
        <v>28000</v>
      </c>
      <c r="F18" s="2">
        <v>0</v>
      </c>
      <c r="G18" s="2">
        <f t="shared" si="0"/>
        <v>227503</v>
      </c>
      <c r="H18" s="198"/>
      <c r="I18" s="198"/>
      <c r="J18" s="200"/>
      <c r="K18" s="249"/>
      <c r="S18" s="171"/>
      <c r="T18" s="172"/>
    </row>
    <row r="19" spans="1:21" x14ac:dyDescent="0.3">
      <c r="A19" s="194" t="s">
        <v>19</v>
      </c>
      <c r="B19" s="196">
        <v>46064</v>
      </c>
      <c r="C19" s="61" t="s">
        <v>8</v>
      </c>
      <c r="D19" s="22">
        <v>376331</v>
      </c>
      <c r="E19" s="2">
        <f>231404+35005</f>
        <v>266409</v>
      </c>
      <c r="F19" s="2">
        <f>30000+4000</f>
        <v>34000</v>
      </c>
      <c r="G19" s="2">
        <f t="shared" si="0"/>
        <v>75922</v>
      </c>
      <c r="H19" s="198">
        <f>D19+D20</f>
        <v>729967</v>
      </c>
      <c r="I19" s="198">
        <f>E19+E20+F19+F20</f>
        <v>527627</v>
      </c>
      <c r="J19" s="200">
        <f>H19-I19</f>
        <v>202340</v>
      </c>
      <c r="S19" s="171"/>
      <c r="T19" s="172"/>
    </row>
    <row r="20" spans="1:21" ht="15" thickBot="1" x14ac:dyDescent="0.35">
      <c r="A20" s="194"/>
      <c r="B20" s="197"/>
      <c r="C20" s="61" t="s">
        <v>9</v>
      </c>
      <c r="D20" s="22">
        <v>353636</v>
      </c>
      <c r="E20" s="2">
        <f>67118+5100</f>
        <v>72218</v>
      </c>
      <c r="F20" s="2">
        <v>155000</v>
      </c>
      <c r="G20" s="2">
        <f t="shared" si="0"/>
        <v>126418</v>
      </c>
      <c r="H20" s="198"/>
      <c r="I20" s="198"/>
      <c r="J20" s="200"/>
      <c r="S20" s="171"/>
      <c r="T20" s="172"/>
    </row>
    <row r="21" spans="1:21" x14ac:dyDescent="0.3">
      <c r="A21" s="194" t="s">
        <v>15</v>
      </c>
      <c r="B21" s="196">
        <v>46065</v>
      </c>
      <c r="C21" s="61" t="s">
        <v>8</v>
      </c>
      <c r="D21" s="22">
        <v>412698</v>
      </c>
      <c r="E21" s="2">
        <f>45843+59150+6500</f>
        <v>111493</v>
      </c>
      <c r="F21" s="2">
        <v>20000</v>
      </c>
      <c r="G21" s="2">
        <f t="shared" si="0"/>
        <v>281205</v>
      </c>
      <c r="H21" s="198">
        <f>D21+D22</f>
        <v>703439</v>
      </c>
      <c r="I21" s="198">
        <f>E21+E22+F21+F22</f>
        <v>475493</v>
      </c>
      <c r="J21" s="200">
        <f>H21-I21</f>
        <v>227946</v>
      </c>
      <c r="S21" s="171"/>
      <c r="T21" s="172"/>
    </row>
    <row r="22" spans="1:21" ht="15" thickBot="1" x14ac:dyDescent="0.35">
      <c r="A22" s="194"/>
      <c r="B22" s="197"/>
      <c r="C22" s="61" t="s">
        <v>9</v>
      </c>
      <c r="D22" s="22">
        <v>290741</v>
      </c>
      <c r="E22" s="2">
        <f>147000+20000</f>
        <v>167000</v>
      </c>
      <c r="F22" s="2">
        <f>30000+147000</f>
        <v>177000</v>
      </c>
      <c r="G22" s="2">
        <f t="shared" si="0"/>
        <v>-53259</v>
      </c>
      <c r="H22" s="198"/>
      <c r="I22" s="198"/>
      <c r="J22" s="200"/>
      <c r="K22" t="s">
        <v>74</v>
      </c>
      <c r="S22" s="171"/>
      <c r="T22" s="173"/>
    </row>
    <row r="23" spans="1:21" x14ac:dyDescent="0.3">
      <c r="A23" s="194" t="s">
        <v>16</v>
      </c>
      <c r="B23" s="196">
        <v>46066</v>
      </c>
      <c r="C23" s="61" t="s">
        <v>8</v>
      </c>
      <c r="D23" s="22">
        <v>489696</v>
      </c>
      <c r="E23" s="2">
        <f>61000+71260+188200</f>
        <v>320460</v>
      </c>
      <c r="F23" s="2">
        <v>0</v>
      </c>
      <c r="G23" s="2">
        <f t="shared" si="0"/>
        <v>169236</v>
      </c>
      <c r="H23" s="198">
        <f>D23+D24</f>
        <v>913537</v>
      </c>
      <c r="I23" s="224">
        <f>E23+E24+F23+F24</f>
        <v>764899</v>
      </c>
      <c r="J23" s="200">
        <f>H23-I23</f>
        <v>148638</v>
      </c>
      <c r="K23" s="182">
        <v>860000</v>
      </c>
      <c r="S23" s="171"/>
      <c r="T23" s="173"/>
    </row>
    <row r="24" spans="1:21" ht="15" thickBot="1" x14ac:dyDescent="0.35">
      <c r="A24" s="195"/>
      <c r="B24" s="229"/>
      <c r="C24" s="79" t="s">
        <v>9</v>
      </c>
      <c r="D24" s="22">
        <v>423841</v>
      </c>
      <c r="E24" s="6">
        <f>264170+40269</f>
        <v>304439</v>
      </c>
      <c r="F24" s="6">
        <v>140000</v>
      </c>
      <c r="G24" s="6">
        <f t="shared" si="0"/>
        <v>-20598</v>
      </c>
      <c r="H24" s="199"/>
      <c r="I24" s="199"/>
      <c r="J24" s="201"/>
    </row>
    <row r="25" spans="1:21" x14ac:dyDescent="0.3">
      <c r="A25" s="202" t="s">
        <v>13</v>
      </c>
      <c r="B25" s="204">
        <v>46067</v>
      </c>
      <c r="C25" s="77" t="s">
        <v>8</v>
      </c>
      <c r="D25" s="36">
        <v>172042</v>
      </c>
      <c r="E25" s="36">
        <f>13900</f>
        <v>13900</v>
      </c>
      <c r="F25" s="36">
        <v>877133</v>
      </c>
      <c r="G25" s="36">
        <f t="shared" si="0"/>
        <v>-718991</v>
      </c>
      <c r="H25" s="206">
        <f>D25+D26</f>
        <v>412184</v>
      </c>
      <c r="I25" s="206">
        <f>E25+E26+F25+F26</f>
        <v>909033</v>
      </c>
      <c r="J25" s="208">
        <f>H25-I25</f>
        <v>-496849</v>
      </c>
      <c r="K25">
        <f>290000+184000+190000</f>
        <v>664000</v>
      </c>
    </row>
    <row r="26" spans="1:21" ht="15" thickBot="1" x14ac:dyDescent="0.35">
      <c r="A26" s="203"/>
      <c r="B26" s="205"/>
      <c r="C26" s="78" t="s">
        <v>35</v>
      </c>
      <c r="D26" s="38">
        <v>240142</v>
      </c>
      <c r="E26" s="38">
        <v>0</v>
      </c>
      <c r="F26" s="38">
        <v>18000</v>
      </c>
      <c r="G26" s="181">
        <f t="shared" si="0"/>
        <v>222142</v>
      </c>
      <c r="H26" s="207"/>
      <c r="I26" s="207"/>
      <c r="J26" s="209"/>
      <c r="T26" s="43"/>
      <c r="U26" t="s">
        <v>41</v>
      </c>
    </row>
    <row r="27" spans="1:21" s="1" customFormat="1" ht="14.25" customHeight="1" thickBot="1" x14ac:dyDescent="0.35">
      <c r="A27" s="383" t="s">
        <v>17</v>
      </c>
      <c r="B27" s="384">
        <v>46069</v>
      </c>
      <c r="C27" s="385" t="s">
        <v>8</v>
      </c>
      <c r="D27" s="386"/>
      <c r="E27" s="387"/>
      <c r="F27" s="387"/>
      <c r="G27" s="387">
        <f t="shared" si="0"/>
        <v>0</v>
      </c>
      <c r="H27" s="388">
        <f>D27+D28</f>
        <v>0</v>
      </c>
      <c r="I27" s="388">
        <f>E27+E28+F27+F28</f>
        <v>0</v>
      </c>
      <c r="J27" s="389">
        <f>H27-I27</f>
        <v>0</v>
      </c>
      <c r="K27" s="392" t="s">
        <v>53</v>
      </c>
      <c r="L27"/>
      <c r="M27"/>
      <c r="N27"/>
      <c r="O27"/>
      <c r="T27" s="42"/>
      <c r="U27" t="s">
        <v>40</v>
      </c>
    </row>
    <row r="28" spans="1:21" s="1" customFormat="1" ht="15" thickBot="1" x14ac:dyDescent="0.35">
      <c r="A28" s="257"/>
      <c r="B28" s="259"/>
      <c r="C28" s="390" t="s">
        <v>9</v>
      </c>
      <c r="D28" s="169"/>
      <c r="E28" s="170"/>
      <c r="F28" s="170"/>
      <c r="G28" s="167">
        <f t="shared" si="0"/>
        <v>0</v>
      </c>
      <c r="H28" s="261"/>
      <c r="I28" s="391"/>
      <c r="J28" s="255"/>
      <c r="K28" s="392"/>
      <c r="L28"/>
      <c r="M28"/>
      <c r="N28"/>
      <c r="O28"/>
    </row>
    <row r="29" spans="1:21" s="1" customFormat="1" ht="15" thickBot="1" x14ac:dyDescent="0.35">
      <c r="A29" s="194" t="s">
        <v>18</v>
      </c>
      <c r="B29" s="196">
        <v>46070</v>
      </c>
      <c r="C29" s="61" t="s">
        <v>8</v>
      </c>
      <c r="D29" s="22"/>
      <c r="E29" s="2"/>
      <c r="F29" s="2"/>
      <c r="G29" s="3">
        <f t="shared" si="0"/>
        <v>0</v>
      </c>
      <c r="H29" s="198">
        <f>D29+D30</f>
        <v>0</v>
      </c>
      <c r="I29" s="198">
        <f>E29+E30+F29+F30</f>
        <v>0</v>
      </c>
      <c r="J29" s="200">
        <f>H29-I29</f>
        <v>0</v>
      </c>
      <c r="K29"/>
      <c r="L29"/>
      <c r="M29"/>
      <c r="N29"/>
      <c r="O29"/>
    </row>
    <row r="30" spans="1:21" s="1" customFormat="1" ht="15" thickBot="1" x14ac:dyDescent="0.35">
      <c r="A30" s="194"/>
      <c r="B30" s="197"/>
      <c r="C30" s="61" t="s">
        <v>9</v>
      </c>
      <c r="D30" s="22"/>
      <c r="E30" s="2"/>
      <c r="F30" s="2"/>
      <c r="G30" s="3">
        <f t="shared" si="0"/>
        <v>0</v>
      </c>
      <c r="H30" s="198"/>
      <c r="I30" s="198"/>
      <c r="J30" s="200"/>
      <c r="K30"/>
      <c r="L30"/>
      <c r="M30"/>
    </row>
    <row r="31" spans="1:21" s="1" customFormat="1" ht="14.25" customHeight="1" thickBot="1" x14ac:dyDescent="0.35">
      <c r="A31" s="194" t="s">
        <v>19</v>
      </c>
      <c r="B31" s="196">
        <v>46071</v>
      </c>
      <c r="C31" s="66" t="s">
        <v>8</v>
      </c>
      <c r="D31" s="44"/>
      <c r="E31" s="45"/>
      <c r="F31" s="45"/>
      <c r="G31" s="3">
        <f t="shared" si="0"/>
        <v>0</v>
      </c>
      <c r="H31" s="211">
        <f>D31+D32</f>
        <v>0</v>
      </c>
      <c r="I31" s="198">
        <f>E31+E32+F31+F32</f>
        <v>0</v>
      </c>
      <c r="J31" s="212">
        <f>H31-I31</f>
        <v>0</v>
      </c>
      <c r="K31" s="210"/>
      <c r="L31"/>
      <c r="M31"/>
    </row>
    <row r="32" spans="1:21" s="1" customFormat="1" ht="15" thickBot="1" x14ac:dyDescent="0.35">
      <c r="A32" s="194"/>
      <c r="B32" s="197"/>
      <c r="C32" s="66" t="s">
        <v>9</v>
      </c>
      <c r="D32" s="44"/>
      <c r="E32" s="45"/>
      <c r="F32" s="45"/>
      <c r="G32" s="3">
        <f t="shared" si="0"/>
        <v>0</v>
      </c>
      <c r="H32" s="211"/>
      <c r="I32" s="198"/>
      <c r="J32" s="212"/>
      <c r="K32" s="210"/>
      <c r="L32"/>
      <c r="M32"/>
    </row>
    <row r="33" spans="1:20" s="1" customFormat="1" ht="15" thickBot="1" x14ac:dyDescent="0.35">
      <c r="A33" s="194" t="s">
        <v>15</v>
      </c>
      <c r="B33" s="196">
        <v>46072</v>
      </c>
      <c r="C33" s="61" t="s">
        <v>8</v>
      </c>
      <c r="D33" s="22"/>
      <c r="E33" s="2"/>
      <c r="F33" s="2"/>
      <c r="G33" s="3">
        <f t="shared" si="0"/>
        <v>0</v>
      </c>
      <c r="H33" s="198">
        <f>D33+D34</f>
        <v>0</v>
      </c>
      <c r="I33" s="198">
        <f>E33+E34+F33+F34</f>
        <v>0</v>
      </c>
      <c r="J33" s="200">
        <f>H33-I33</f>
        <v>0</v>
      </c>
      <c r="K33"/>
      <c r="L33"/>
      <c r="M33"/>
      <c r="N33"/>
      <c r="O33"/>
    </row>
    <row r="34" spans="1:20" s="1" customFormat="1" ht="15" thickBot="1" x14ac:dyDescent="0.35">
      <c r="A34" s="194"/>
      <c r="B34" s="197"/>
      <c r="C34" s="61" t="s">
        <v>9</v>
      </c>
      <c r="D34" s="22"/>
      <c r="E34" s="2"/>
      <c r="F34" s="2"/>
      <c r="G34" s="3">
        <f t="shared" si="0"/>
        <v>0</v>
      </c>
      <c r="H34" s="198"/>
      <c r="I34" s="198"/>
      <c r="J34" s="200"/>
      <c r="K34"/>
      <c r="L34"/>
      <c r="M34"/>
      <c r="N34"/>
      <c r="O34"/>
    </row>
    <row r="35" spans="1:20" ht="15" thickBot="1" x14ac:dyDescent="0.35">
      <c r="A35" s="194" t="s">
        <v>16</v>
      </c>
      <c r="B35" s="196">
        <v>46073</v>
      </c>
      <c r="C35" s="61" t="s">
        <v>8</v>
      </c>
      <c r="D35" s="22"/>
      <c r="E35" s="2"/>
      <c r="F35" s="2"/>
      <c r="G35" s="3">
        <f t="shared" si="0"/>
        <v>0</v>
      </c>
      <c r="H35" s="198">
        <f>D35+D36</f>
        <v>0</v>
      </c>
      <c r="I35" s="224">
        <f>E35+E36+F35+F36</f>
        <v>0</v>
      </c>
      <c r="J35" s="200">
        <f>H35-I35</f>
        <v>0</v>
      </c>
    </row>
    <row r="36" spans="1:20" ht="15" thickBot="1" x14ac:dyDescent="0.35">
      <c r="A36" s="222"/>
      <c r="B36" s="197"/>
      <c r="C36" s="62" t="s">
        <v>9</v>
      </c>
      <c r="D36" s="27"/>
      <c r="E36" s="10"/>
      <c r="F36" s="10"/>
      <c r="G36" s="3">
        <f t="shared" si="0"/>
        <v>0</v>
      </c>
      <c r="H36" s="223"/>
      <c r="I36" s="223"/>
      <c r="J36" s="225"/>
      <c r="Q36" s="240" t="s">
        <v>71</v>
      </c>
      <c r="R36" s="240"/>
      <c r="S36" s="240"/>
      <c r="T36" s="240"/>
    </row>
    <row r="37" spans="1:20" x14ac:dyDescent="0.3">
      <c r="A37" s="213" t="s">
        <v>13</v>
      </c>
      <c r="B37" s="215">
        <v>46074</v>
      </c>
      <c r="C37" s="63" t="s">
        <v>8</v>
      </c>
      <c r="D37" s="54"/>
      <c r="E37" s="48"/>
      <c r="F37" s="48"/>
      <c r="G37" s="48">
        <f t="shared" si="0"/>
        <v>0</v>
      </c>
      <c r="H37" s="217">
        <f>D37+D38</f>
        <v>0</v>
      </c>
      <c r="I37" s="217">
        <f>E37+E38+F37+F38</f>
        <v>0</v>
      </c>
      <c r="J37" s="217">
        <f>H37-I37</f>
        <v>0</v>
      </c>
      <c r="K37" s="40"/>
      <c r="N37" s="13" t="s">
        <v>2</v>
      </c>
      <c r="O37" s="12">
        <v>1</v>
      </c>
      <c r="Q37" s="175" t="s">
        <v>72</v>
      </c>
      <c r="R37" s="175" t="s">
        <v>73</v>
      </c>
      <c r="T37" t="s">
        <v>10</v>
      </c>
    </row>
    <row r="38" spans="1:20" ht="15" thickBot="1" x14ac:dyDescent="0.35">
      <c r="A38" s="214"/>
      <c r="B38" s="216"/>
      <c r="C38" s="64" t="s">
        <v>35</v>
      </c>
      <c r="D38" s="55"/>
      <c r="E38" s="49"/>
      <c r="F38" s="49"/>
      <c r="G38" s="48">
        <f t="shared" si="0"/>
        <v>0</v>
      </c>
      <c r="H38" s="218"/>
      <c r="I38" s="218"/>
      <c r="J38" s="218"/>
      <c r="K38" t="s">
        <v>43</v>
      </c>
      <c r="N38" s="14" t="s">
        <v>11</v>
      </c>
      <c r="O38" s="17">
        <f>I51*100/H51/100</f>
        <v>0.82903502386841088</v>
      </c>
      <c r="Q38" s="176">
        <v>46055</v>
      </c>
      <c r="R38" s="177">
        <v>100000</v>
      </c>
      <c r="T38" s="174">
        <f>SUM(R38:R45)</f>
        <v>1429000</v>
      </c>
    </row>
    <row r="39" spans="1:20" s="1" customFormat="1" ht="14.25" customHeight="1" thickBot="1" x14ac:dyDescent="0.35">
      <c r="A39" s="219" t="s">
        <v>17</v>
      </c>
      <c r="B39" s="196">
        <v>46076</v>
      </c>
      <c r="C39" s="60" t="s">
        <v>8</v>
      </c>
      <c r="D39" s="23"/>
      <c r="E39" s="3"/>
      <c r="F39" s="3"/>
      <c r="G39" s="3">
        <f t="shared" si="0"/>
        <v>0</v>
      </c>
      <c r="H39" s="220">
        <f>D39+D40</f>
        <v>0</v>
      </c>
      <c r="I39" s="198">
        <f>E39+E40+F39+F40</f>
        <v>0</v>
      </c>
      <c r="J39" s="221">
        <f>H39-I39</f>
        <v>0</v>
      </c>
      <c r="K39"/>
      <c r="L39"/>
      <c r="M39"/>
      <c r="N39" s="15" t="s">
        <v>3</v>
      </c>
      <c r="O39" s="16">
        <f>(100%-O38)</f>
        <v>0.17096497613158912</v>
      </c>
      <c r="Q39" s="176">
        <v>46057</v>
      </c>
      <c r="R39" s="177">
        <v>500000</v>
      </c>
      <c r="S39"/>
      <c r="T39"/>
    </row>
    <row r="40" spans="1:20" s="1" customFormat="1" ht="15" thickBot="1" x14ac:dyDescent="0.35">
      <c r="A40" s="194"/>
      <c r="B40" s="197"/>
      <c r="C40" s="61" t="s">
        <v>9</v>
      </c>
      <c r="D40" s="22"/>
      <c r="E40" s="2"/>
      <c r="F40" s="2"/>
      <c r="G40" s="3">
        <f t="shared" si="0"/>
        <v>0</v>
      </c>
      <c r="H40" s="198"/>
      <c r="I40" s="199"/>
      <c r="J40" s="200"/>
      <c r="K40"/>
      <c r="L40"/>
      <c r="M40"/>
      <c r="N40"/>
      <c r="O40"/>
      <c r="P40"/>
      <c r="Q40" s="176">
        <v>46059</v>
      </c>
      <c r="R40" s="177">
        <v>150000</v>
      </c>
    </row>
    <row r="41" spans="1:20" s="1" customFormat="1" ht="15" thickBot="1" x14ac:dyDescent="0.35">
      <c r="A41" s="194" t="s">
        <v>18</v>
      </c>
      <c r="B41" s="196">
        <v>46077</v>
      </c>
      <c r="C41" s="61" t="s">
        <v>8</v>
      </c>
      <c r="D41" s="22"/>
      <c r="E41" s="2"/>
      <c r="F41" s="2"/>
      <c r="G41" s="3">
        <f t="shared" si="0"/>
        <v>0</v>
      </c>
      <c r="H41" s="198">
        <f>D41+D42</f>
        <v>0</v>
      </c>
      <c r="I41" s="198">
        <f>E41+E42+F41+F42</f>
        <v>0</v>
      </c>
      <c r="J41" s="200">
        <f>H41-I41</f>
        <v>0</v>
      </c>
      <c r="K41"/>
      <c r="L41"/>
      <c r="M41"/>
      <c r="N41"/>
      <c r="O41"/>
      <c r="P41"/>
      <c r="Q41" s="176">
        <v>46061</v>
      </c>
      <c r="R41" s="177">
        <v>154000</v>
      </c>
    </row>
    <row r="42" spans="1:20" s="1" customFormat="1" ht="15" thickBot="1" x14ac:dyDescent="0.35">
      <c r="A42" s="194"/>
      <c r="B42" s="197"/>
      <c r="C42" s="61" t="s">
        <v>9</v>
      </c>
      <c r="D42" s="22"/>
      <c r="E42" s="2"/>
      <c r="F42" s="2"/>
      <c r="G42" s="3">
        <f t="shared" si="0"/>
        <v>0</v>
      </c>
      <c r="H42" s="198"/>
      <c r="I42" s="198"/>
      <c r="J42" s="200"/>
      <c r="K42"/>
      <c r="L42"/>
      <c r="M42"/>
      <c r="N42"/>
      <c r="O42"/>
      <c r="P42"/>
      <c r="Q42" s="176">
        <v>46064</v>
      </c>
      <c r="R42" s="178">
        <f>80000+75000</f>
        <v>155000</v>
      </c>
    </row>
    <row r="43" spans="1:20" s="1" customFormat="1" ht="14.25" customHeight="1" thickBot="1" x14ac:dyDescent="0.35">
      <c r="A43" s="194" t="s">
        <v>19</v>
      </c>
      <c r="B43" s="196">
        <v>46078</v>
      </c>
      <c r="C43" s="66" t="s">
        <v>8</v>
      </c>
      <c r="D43" s="44"/>
      <c r="E43" s="45"/>
      <c r="F43" s="45"/>
      <c r="G43" s="3">
        <f t="shared" si="0"/>
        <v>0</v>
      </c>
      <c r="H43" s="211">
        <f>D43+D44</f>
        <v>0</v>
      </c>
      <c r="I43" s="198">
        <f>E43+E44+F43+F44</f>
        <v>0</v>
      </c>
      <c r="J43" s="212">
        <f>H43-I43</f>
        <v>0</v>
      </c>
      <c r="K43" s="210"/>
      <c r="L43"/>
      <c r="M43"/>
      <c r="N43"/>
      <c r="O43"/>
      <c r="P43"/>
      <c r="Q43" s="176">
        <v>46065</v>
      </c>
      <c r="R43" s="178">
        <v>30000</v>
      </c>
    </row>
    <row r="44" spans="1:20" s="1" customFormat="1" ht="15" thickBot="1" x14ac:dyDescent="0.35">
      <c r="A44" s="194"/>
      <c r="B44" s="197"/>
      <c r="C44" s="66" t="s">
        <v>9</v>
      </c>
      <c r="D44" s="44"/>
      <c r="E44" s="45"/>
      <c r="F44" s="45"/>
      <c r="G44" s="3">
        <f t="shared" si="0"/>
        <v>0</v>
      </c>
      <c r="H44" s="211"/>
      <c r="I44" s="198"/>
      <c r="J44" s="212"/>
      <c r="K44" s="210"/>
      <c r="L44"/>
      <c r="M44"/>
      <c r="N44"/>
      <c r="O44"/>
      <c r="P44"/>
      <c r="Q44" s="176">
        <v>46066</v>
      </c>
      <c r="R44" s="178">
        <v>140000</v>
      </c>
    </row>
    <row r="45" spans="1:20" s="1" customFormat="1" ht="15" thickBot="1" x14ac:dyDescent="0.35">
      <c r="A45" s="194" t="s">
        <v>15</v>
      </c>
      <c r="B45" s="196">
        <v>46079</v>
      </c>
      <c r="C45" s="61" t="s">
        <v>8</v>
      </c>
      <c r="D45" s="22"/>
      <c r="E45" s="2"/>
      <c r="F45" s="2"/>
      <c r="G45" s="3">
        <f t="shared" si="0"/>
        <v>0</v>
      </c>
      <c r="H45" s="198">
        <f>D45+D46</f>
        <v>0</v>
      </c>
      <c r="I45" s="198">
        <f>E45+E46+F45+F46</f>
        <v>0</v>
      </c>
      <c r="J45" s="200">
        <f>H45-I45</f>
        <v>0</v>
      </c>
      <c r="K45"/>
      <c r="L45"/>
      <c r="M45"/>
      <c r="N45"/>
      <c r="O45"/>
      <c r="P45"/>
      <c r="Q45" s="176">
        <v>46067</v>
      </c>
      <c r="R45" s="178">
        <v>200000</v>
      </c>
    </row>
    <row r="46" spans="1:20" s="1" customFormat="1" ht="15" thickBot="1" x14ac:dyDescent="0.35">
      <c r="A46" s="194"/>
      <c r="B46" s="197"/>
      <c r="C46" s="61" t="s">
        <v>9</v>
      </c>
      <c r="D46" s="22"/>
      <c r="E46" s="2"/>
      <c r="F46" s="2"/>
      <c r="G46" s="3">
        <f t="shared" si="0"/>
        <v>0</v>
      </c>
      <c r="H46" s="198"/>
      <c r="I46" s="198"/>
      <c r="J46" s="200"/>
      <c r="K46"/>
      <c r="L46"/>
      <c r="M46"/>
      <c r="N46"/>
      <c r="O46"/>
      <c r="P46"/>
      <c r="Q46"/>
    </row>
    <row r="47" spans="1:20" ht="15" thickBot="1" x14ac:dyDescent="0.35">
      <c r="A47" s="194" t="s">
        <v>16</v>
      </c>
      <c r="B47" s="196">
        <v>46080</v>
      </c>
      <c r="C47" s="61" t="s">
        <v>8</v>
      </c>
      <c r="D47" s="22"/>
      <c r="E47" s="2"/>
      <c r="F47" s="2"/>
      <c r="G47" s="3">
        <f t="shared" si="0"/>
        <v>0</v>
      </c>
      <c r="H47" s="198">
        <f>D47+D48</f>
        <v>0</v>
      </c>
      <c r="I47" s="198">
        <f>E47+E48+F47+F48</f>
        <v>0</v>
      </c>
      <c r="J47" s="200">
        <f>H47-I47</f>
        <v>0</v>
      </c>
    </row>
    <row r="48" spans="1:20" ht="15" thickBot="1" x14ac:dyDescent="0.35">
      <c r="A48" s="195"/>
      <c r="B48" s="197"/>
      <c r="C48" s="79" t="s">
        <v>9</v>
      </c>
      <c r="D48" s="29"/>
      <c r="E48" s="6"/>
      <c r="F48" s="6"/>
      <c r="G48" s="3">
        <f t="shared" si="0"/>
        <v>0</v>
      </c>
      <c r="H48" s="199"/>
      <c r="I48" s="199"/>
      <c r="J48" s="201"/>
    </row>
    <row r="49" spans="1:18" ht="15" thickBot="1" x14ac:dyDescent="0.35">
      <c r="A49" s="202" t="s">
        <v>13</v>
      </c>
      <c r="B49" s="204">
        <v>46081</v>
      </c>
      <c r="C49" s="77" t="s">
        <v>8</v>
      </c>
      <c r="D49" s="35"/>
      <c r="E49" s="36"/>
      <c r="F49" s="36"/>
      <c r="G49" s="36">
        <f t="shared" si="0"/>
        <v>0</v>
      </c>
      <c r="H49" s="206">
        <f>D49+D50</f>
        <v>0</v>
      </c>
      <c r="I49" s="206">
        <f>E49+E50+F49+F50</f>
        <v>0</v>
      </c>
      <c r="J49" s="208">
        <f>H49-I49</f>
        <v>0</v>
      </c>
      <c r="K49" s="40"/>
      <c r="M49">
        <v>1931938</v>
      </c>
      <c r="N49" s="183">
        <f>M50/M49</f>
        <v>0.44514886088476957</v>
      </c>
      <c r="P49">
        <v>1435089</v>
      </c>
      <c r="Q49" s="183">
        <f>P50/P49</f>
        <v>0.46268907363933526</v>
      </c>
    </row>
    <row r="50" spans="1:18" ht="15" thickBot="1" x14ac:dyDescent="0.35">
      <c r="A50" s="203"/>
      <c r="B50" s="205"/>
      <c r="C50" s="78" t="s">
        <v>35</v>
      </c>
      <c r="D50" s="37"/>
      <c r="E50" s="38"/>
      <c r="F50" s="38"/>
      <c r="G50" s="36">
        <f t="shared" si="0"/>
        <v>0</v>
      </c>
      <c r="H50" s="207"/>
      <c r="I50" s="207"/>
      <c r="J50" s="209"/>
      <c r="K50" t="s">
        <v>43</v>
      </c>
      <c r="M50">
        <v>860000</v>
      </c>
      <c r="P50">
        <v>664000</v>
      </c>
    </row>
    <row r="51" spans="1:18" s="1" customFormat="1" ht="15" thickBot="1" x14ac:dyDescent="0.35">
      <c r="A51"/>
      <c r="B51" s="190" t="s">
        <v>10</v>
      </c>
      <c r="C51" s="191"/>
      <c r="D51" s="159">
        <f t="shared" ref="D51:J51" si="1">SUM(D3:D50)</f>
        <v>7984612</v>
      </c>
      <c r="E51" s="159">
        <f t="shared" si="1"/>
        <v>3312390</v>
      </c>
      <c r="F51" s="159">
        <f t="shared" si="1"/>
        <v>3307133</v>
      </c>
      <c r="G51" s="159">
        <f t="shared" si="1"/>
        <v>1365089</v>
      </c>
      <c r="H51" s="159">
        <f t="shared" si="1"/>
        <v>7984612</v>
      </c>
      <c r="I51" s="159">
        <f t="shared" si="1"/>
        <v>6619523</v>
      </c>
      <c r="J51" s="159">
        <f t="shared" si="1"/>
        <v>1365089</v>
      </c>
      <c r="K51"/>
      <c r="L51" s="39"/>
      <c r="M51"/>
      <c r="N51"/>
    </row>
    <row r="52" spans="1:18" s="1" customFormat="1" x14ac:dyDescent="0.3">
      <c r="A52"/>
      <c r="K52"/>
      <c r="L52" s="39"/>
      <c r="M52"/>
      <c r="N52"/>
    </row>
    <row r="53" spans="1:18" s="1" customFormat="1" x14ac:dyDescent="0.3">
      <c r="A53"/>
      <c r="K53"/>
      <c r="L53" s="39"/>
      <c r="M53"/>
      <c r="N53"/>
    </row>
    <row r="54" spans="1:18" s="1" customFormat="1" x14ac:dyDescent="0.3">
      <c r="A54"/>
      <c r="K54"/>
      <c r="L54" s="39"/>
      <c r="M54"/>
      <c r="N54"/>
    </row>
    <row r="55" spans="1:18" s="1" customFormat="1" x14ac:dyDescent="0.3">
      <c r="A55"/>
      <c r="K55"/>
      <c r="L55" s="39"/>
      <c r="M55"/>
      <c r="N55"/>
      <c r="O55"/>
    </row>
    <row r="56" spans="1:18" x14ac:dyDescent="0.3">
      <c r="L56" s="39"/>
    </row>
    <row r="57" spans="1:18" x14ac:dyDescent="0.3">
      <c r="D57" s="20" t="s">
        <v>21</v>
      </c>
      <c r="E57" s="2">
        <f>MAXA(H3:H34)</f>
        <v>913537</v>
      </c>
      <c r="F57" s="2"/>
      <c r="G57" s="187"/>
      <c r="H57" s="187"/>
      <c r="L57" s="39"/>
    </row>
    <row r="58" spans="1:18" x14ac:dyDescent="0.3">
      <c r="D58" s="21" t="s">
        <v>22</v>
      </c>
      <c r="E58" s="2">
        <f>IF(MINA(D3:D42)&lt;&gt;0, MINA(D3:D42))</f>
        <v>163784</v>
      </c>
      <c r="F58" s="2"/>
      <c r="G58" s="187"/>
      <c r="H58" s="187"/>
      <c r="L58" s="39"/>
    </row>
    <row r="59" spans="1:18" s="1" customFormat="1" x14ac:dyDescent="0.3">
      <c r="A59"/>
      <c r="C59" s="1" t="s">
        <v>20</v>
      </c>
      <c r="K59"/>
      <c r="L59"/>
      <c r="M59"/>
      <c r="N59"/>
      <c r="O59"/>
    </row>
    <row r="60" spans="1:18" x14ac:dyDescent="0.3">
      <c r="D60" s="192" t="s">
        <v>36</v>
      </c>
      <c r="E60" s="18" t="e">
        <f>AVERAGEA(#REF!)</f>
        <v>#REF!</v>
      </c>
      <c r="F60" s="18"/>
      <c r="G60" s="187" t="s">
        <v>23</v>
      </c>
      <c r="H60" s="187"/>
      <c r="J60" s="193" t="s">
        <v>37</v>
      </c>
      <c r="K60" s="18" t="e">
        <f>AVERAGEA(#REF!)</f>
        <v>#REF!</v>
      </c>
      <c r="L60" s="187" t="s">
        <v>23</v>
      </c>
      <c r="M60" s="187"/>
      <c r="O60" s="188" t="s">
        <v>38</v>
      </c>
      <c r="P60" s="18" t="e">
        <f>AVERAGEA(#REF!)</f>
        <v>#REF!</v>
      </c>
      <c r="Q60" s="187" t="s">
        <v>23</v>
      </c>
      <c r="R60" s="187"/>
    </row>
    <row r="61" spans="1:18" x14ac:dyDescent="0.3">
      <c r="D61" s="192"/>
      <c r="E61" s="18">
        <f>AVERAGEA(H3:H14)</f>
        <v>680176.16666666663</v>
      </c>
      <c r="F61" s="18"/>
      <c r="G61" s="187" t="s">
        <v>24</v>
      </c>
      <c r="H61" s="187"/>
      <c r="J61" s="193"/>
      <c r="K61" s="18">
        <f>AVERAGEA(I3:I14)</f>
        <v>481850.33333333331</v>
      </c>
      <c r="L61" s="187" t="s">
        <v>24</v>
      </c>
      <c r="M61" s="187"/>
      <c r="O61" s="188"/>
      <c r="P61" s="18">
        <f>AVERAGEA(J3:J14)</f>
        <v>198325.83333333334</v>
      </c>
      <c r="Q61" s="187" t="s">
        <v>24</v>
      </c>
      <c r="R61" s="187"/>
    </row>
    <row r="62" spans="1:18" x14ac:dyDescent="0.3">
      <c r="D62" s="192"/>
      <c r="E62" s="18">
        <f>AVERAGEA(H15:H26)</f>
        <v>650592.5</v>
      </c>
      <c r="F62" s="18"/>
      <c r="G62" s="187" t="s">
        <v>25</v>
      </c>
      <c r="H62" s="187"/>
      <c r="J62" s="193"/>
      <c r="K62" s="18">
        <f>AVERAGEA(I15:I26)</f>
        <v>621403.5</v>
      </c>
      <c r="L62" s="187" t="s">
        <v>25</v>
      </c>
      <c r="M62" s="187"/>
      <c r="O62" s="188"/>
      <c r="P62" s="18">
        <f>AVERAGEA(J15:J26)</f>
        <v>29189</v>
      </c>
      <c r="Q62" s="187" t="s">
        <v>25</v>
      </c>
      <c r="R62" s="187"/>
    </row>
    <row r="63" spans="1:18" x14ac:dyDescent="0.3">
      <c r="D63" s="192"/>
      <c r="E63" s="18">
        <f>AVERAGEA(H27:H38)</f>
        <v>0</v>
      </c>
      <c r="F63" s="160"/>
      <c r="G63" s="184" t="s">
        <v>26</v>
      </c>
      <c r="H63" s="185"/>
      <c r="J63" s="193"/>
      <c r="K63" s="18">
        <f>AVERAGEA(I27:I38)</f>
        <v>0</v>
      </c>
      <c r="L63" s="184" t="s">
        <v>26</v>
      </c>
      <c r="M63" s="185"/>
      <c r="O63" s="188"/>
      <c r="P63" s="18">
        <f>AVERAGEA(J27:J38)</f>
        <v>0</v>
      </c>
      <c r="Q63" s="184" t="s">
        <v>26</v>
      </c>
      <c r="R63" s="185"/>
    </row>
    <row r="64" spans="1:18" x14ac:dyDescent="0.3">
      <c r="D64" s="192"/>
      <c r="E64" s="18">
        <f>AVERAGEA(H39:H42)</f>
        <v>0</v>
      </c>
      <c r="F64" s="160"/>
      <c r="G64" s="184" t="s">
        <v>34</v>
      </c>
      <c r="H64" s="185"/>
      <c r="J64" s="193"/>
      <c r="K64" s="18">
        <f>AVERAGEA(I39:I42)</f>
        <v>0</v>
      </c>
      <c r="L64" s="184" t="s">
        <v>34</v>
      </c>
      <c r="M64" s="185"/>
      <c r="O64" s="188"/>
      <c r="P64" s="18">
        <f>AVERAGEA(J39:J42)</f>
        <v>0</v>
      </c>
      <c r="Q64" s="184" t="s">
        <v>34</v>
      </c>
      <c r="R64" s="185"/>
    </row>
    <row r="65" spans="1:18" x14ac:dyDescent="0.3">
      <c r="D65" s="192"/>
      <c r="E65" s="28" t="e">
        <f>AVERAGEA(E60:E63)</f>
        <v>#REF!</v>
      </c>
      <c r="F65" s="28"/>
      <c r="G65" s="186" t="s">
        <v>10</v>
      </c>
      <c r="H65" s="186"/>
      <c r="J65" s="193"/>
      <c r="K65" s="28" t="e">
        <f>AVERAGEA(K60:K63)</f>
        <v>#REF!</v>
      </c>
      <c r="L65" s="186" t="s">
        <v>10</v>
      </c>
      <c r="M65" s="186"/>
      <c r="O65" s="189"/>
      <c r="P65" s="28" t="e">
        <f>AVERAGEA(P60:P63)</f>
        <v>#REF!</v>
      </c>
      <c r="Q65" s="186" t="s">
        <v>10</v>
      </c>
      <c r="R65" s="186"/>
    </row>
    <row r="67" spans="1:18" x14ac:dyDescent="0.3">
      <c r="D67"/>
      <c r="E67"/>
      <c r="F67"/>
      <c r="G67"/>
      <c r="H67"/>
      <c r="I67"/>
      <c r="J67"/>
    </row>
    <row r="68" spans="1:18" s="1" customFormat="1" x14ac:dyDescent="0.3">
      <c r="A68"/>
      <c r="D68"/>
      <c r="E68"/>
      <c r="F68"/>
      <c r="G68"/>
      <c r="H68"/>
      <c r="I68"/>
      <c r="J68"/>
      <c r="K68"/>
      <c r="L68"/>
      <c r="M68"/>
      <c r="N68"/>
      <c r="O68"/>
    </row>
    <row r="69" spans="1:18" x14ac:dyDescent="0.3">
      <c r="D69"/>
      <c r="E69"/>
      <c r="F69"/>
      <c r="G69"/>
      <c r="H69"/>
      <c r="I69"/>
      <c r="J69"/>
    </row>
    <row r="70" spans="1:18" ht="27" customHeight="1" x14ac:dyDescent="0.3">
      <c r="D70"/>
      <c r="E70"/>
      <c r="F70"/>
      <c r="G70"/>
      <c r="H70"/>
      <c r="I70"/>
      <c r="J70"/>
    </row>
    <row r="71" spans="1:18" x14ac:dyDescent="0.3">
      <c r="D71"/>
      <c r="E71"/>
      <c r="F71"/>
      <c r="G71"/>
      <c r="H71"/>
      <c r="I71"/>
      <c r="J71"/>
    </row>
    <row r="72" spans="1:18" x14ac:dyDescent="0.3">
      <c r="D72"/>
      <c r="E72"/>
      <c r="F72"/>
      <c r="G72"/>
      <c r="H72"/>
      <c r="I72"/>
      <c r="J72"/>
    </row>
    <row r="73" spans="1:18" x14ac:dyDescent="0.3">
      <c r="D73"/>
      <c r="E73"/>
      <c r="F73"/>
      <c r="G73"/>
      <c r="H73"/>
      <c r="I73"/>
      <c r="J73"/>
    </row>
    <row r="74" spans="1:18" x14ac:dyDescent="0.3">
      <c r="D74"/>
      <c r="E74"/>
      <c r="F74"/>
      <c r="G74"/>
      <c r="H74"/>
      <c r="I74"/>
      <c r="J74"/>
    </row>
    <row r="75" spans="1:18" x14ac:dyDescent="0.3">
      <c r="D75"/>
      <c r="E75"/>
      <c r="F75"/>
      <c r="G75"/>
      <c r="H75"/>
      <c r="I75"/>
      <c r="J75"/>
    </row>
    <row r="76" spans="1:18" x14ac:dyDescent="0.3">
      <c r="D76"/>
      <c r="E76"/>
      <c r="F76"/>
      <c r="G76"/>
      <c r="H76"/>
      <c r="I76"/>
      <c r="J76"/>
    </row>
    <row r="77" spans="1:18" x14ac:dyDescent="0.3">
      <c r="D77"/>
      <c r="E77"/>
      <c r="F77"/>
      <c r="G77"/>
      <c r="H77"/>
      <c r="I77"/>
      <c r="J77"/>
    </row>
  </sheetData>
  <autoFilter ref="B2:J51" xr:uid="{00000000-0009-0000-0000-000000000000}"/>
  <mergeCells count="154">
    <mergeCell ref="Q36:T36"/>
    <mergeCell ref="A3:A4"/>
    <mergeCell ref="B3:B4"/>
    <mergeCell ref="H3:H4"/>
    <mergeCell ref="I3:I4"/>
    <mergeCell ref="J3:J4"/>
    <mergeCell ref="A1:A2"/>
    <mergeCell ref="B1:B2"/>
    <mergeCell ref="C1:C2"/>
    <mergeCell ref="D1:G1"/>
    <mergeCell ref="H1:J1"/>
    <mergeCell ref="A5:A6"/>
    <mergeCell ref="B5:B6"/>
    <mergeCell ref="H5:H6"/>
    <mergeCell ref="I5:I6"/>
    <mergeCell ref="J5:J6"/>
    <mergeCell ref="A7:A8"/>
    <mergeCell ref="B7:B8"/>
    <mergeCell ref="H7:H8"/>
    <mergeCell ref="I7:I8"/>
    <mergeCell ref="J7:J8"/>
    <mergeCell ref="K17:K18"/>
    <mergeCell ref="A13:A14"/>
    <mergeCell ref="B13:B14"/>
    <mergeCell ref="H13:H14"/>
    <mergeCell ref="I13:I14"/>
    <mergeCell ref="J13:J14"/>
    <mergeCell ref="A9:A10"/>
    <mergeCell ref="B9:B10"/>
    <mergeCell ref="H9:H10"/>
    <mergeCell ref="I9:I10"/>
    <mergeCell ref="J9:J10"/>
    <mergeCell ref="A11:A12"/>
    <mergeCell ref="B11:B12"/>
    <mergeCell ref="H11:H12"/>
    <mergeCell ref="I11:I12"/>
    <mergeCell ref="J11:J12"/>
    <mergeCell ref="A15:A16"/>
    <mergeCell ref="B15:B16"/>
    <mergeCell ref="H15:H16"/>
    <mergeCell ref="I15:I16"/>
    <mergeCell ref="J15:J16"/>
    <mergeCell ref="A17:A18"/>
    <mergeCell ref="B17:B18"/>
    <mergeCell ref="H17:H18"/>
    <mergeCell ref="I17:I18"/>
    <mergeCell ref="J17:J18"/>
    <mergeCell ref="A19:A20"/>
    <mergeCell ref="B19:B20"/>
    <mergeCell ref="H19:H20"/>
    <mergeCell ref="I19:I20"/>
    <mergeCell ref="J19:J20"/>
    <mergeCell ref="A21:A22"/>
    <mergeCell ref="B21:B22"/>
    <mergeCell ref="H21:H22"/>
    <mergeCell ref="I21:I22"/>
    <mergeCell ref="J21:J22"/>
    <mergeCell ref="A23:A24"/>
    <mergeCell ref="B23:B24"/>
    <mergeCell ref="H23:H24"/>
    <mergeCell ref="I23:I24"/>
    <mergeCell ref="J23:J24"/>
    <mergeCell ref="A25:A26"/>
    <mergeCell ref="B25:B26"/>
    <mergeCell ref="H25:H26"/>
    <mergeCell ref="I25:I26"/>
    <mergeCell ref="J25:J26"/>
    <mergeCell ref="A31:A32"/>
    <mergeCell ref="B31:B32"/>
    <mergeCell ref="H31:H32"/>
    <mergeCell ref="I31:I32"/>
    <mergeCell ref="J31:J32"/>
    <mergeCell ref="K31:K32"/>
    <mergeCell ref="A27:A28"/>
    <mergeCell ref="B27:B28"/>
    <mergeCell ref="H27:H28"/>
    <mergeCell ref="I27:I28"/>
    <mergeCell ref="J27:J28"/>
    <mergeCell ref="A29:A30"/>
    <mergeCell ref="B29:B30"/>
    <mergeCell ref="H29:H30"/>
    <mergeCell ref="I29:I30"/>
    <mergeCell ref="J29:J30"/>
    <mergeCell ref="K27:K28"/>
    <mergeCell ref="A33:A34"/>
    <mergeCell ref="B33:B34"/>
    <mergeCell ref="H33:H34"/>
    <mergeCell ref="I33:I34"/>
    <mergeCell ref="J33:J34"/>
    <mergeCell ref="A35:A36"/>
    <mergeCell ref="B35:B36"/>
    <mergeCell ref="H35:H36"/>
    <mergeCell ref="I35:I36"/>
    <mergeCell ref="J35:J36"/>
    <mergeCell ref="A37:A38"/>
    <mergeCell ref="B37:B38"/>
    <mergeCell ref="H37:H38"/>
    <mergeCell ref="I37:I38"/>
    <mergeCell ref="J37:J38"/>
    <mergeCell ref="A39:A40"/>
    <mergeCell ref="B39:B40"/>
    <mergeCell ref="H39:H40"/>
    <mergeCell ref="I39:I40"/>
    <mergeCell ref="J39:J40"/>
    <mergeCell ref="K43:K44"/>
    <mergeCell ref="A45:A46"/>
    <mergeCell ref="B45:B46"/>
    <mergeCell ref="H45:H46"/>
    <mergeCell ref="I45:I46"/>
    <mergeCell ref="J45:J46"/>
    <mergeCell ref="A41:A42"/>
    <mergeCell ref="B41:B42"/>
    <mergeCell ref="H41:H42"/>
    <mergeCell ref="I41:I42"/>
    <mergeCell ref="J41:J42"/>
    <mergeCell ref="A43:A44"/>
    <mergeCell ref="B43:B44"/>
    <mergeCell ref="H43:H44"/>
    <mergeCell ref="I43:I44"/>
    <mergeCell ref="J43:J44"/>
    <mergeCell ref="B51:C51"/>
    <mergeCell ref="G57:H57"/>
    <mergeCell ref="G58:H58"/>
    <mergeCell ref="D60:D65"/>
    <mergeCell ref="G60:H60"/>
    <mergeCell ref="J60:J65"/>
    <mergeCell ref="A47:A48"/>
    <mergeCell ref="B47:B48"/>
    <mergeCell ref="H47:H48"/>
    <mergeCell ref="I47:I48"/>
    <mergeCell ref="J47:J48"/>
    <mergeCell ref="A49:A50"/>
    <mergeCell ref="B49:B50"/>
    <mergeCell ref="H49:H50"/>
    <mergeCell ref="I49:I50"/>
    <mergeCell ref="J49:J50"/>
    <mergeCell ref="L63:M63"/>
    <mergeCell ref="Q63:R63"/>
    <mergeCell ref="G64:H64"/>
    <mergeCell ref="L64:M64"/>
    <mergeCell ref="Q64:R64"/>
    <mergeCell ref="G65:H65"/>
    <mergeCell ref="L65:M65"/>
    <mergeCell ref="Q65:R65"/>
    <mergeCell ref="L60:M60"/>
    <mergeCell ref="O60:O65"/>
    <mergeCell ref="Q60:R60"/>
    <mergeCell ref="G61:H61"/>
    <mergeCell ref="L61:M61"/>
    <mergeCell ref="Q61:R61"/>
    <mergeCell ref="G62:H62"/>
    <mergeCell ref="L62:M62"/>
    <mergeCell ref="Q62:R62"/>
    <mergeCell ref="G63:H63"/>
  </mergeCell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CBEC1-44D1-471C-9A7A-DE8B506B3BE9}">
  <sheetPr>
    <tabColor theme="4" tint="-0.249977111117893"/>
  </sheetPr>
  <dimension ref="A1:M43"/>
  <sheetViews>
    <sheetView showGridLines="0" zoomScale="85" zoomScaleNormal="85" workbookViewId="0">
      <selection activeCell="C5" sqref="C5"/>
    </sheetView>
  </sheetViews>
  <sheetFormatPr baseColWidth="10" defaultRowHeight="14.4" x14ac:dyDescent="0.3"/>
  <cols>
    <col min="1" max="1" width="10.44140625" customWidth="1"/>
    <col min="2" max="2" width="12.6640625" customWidth="1"/>
    <col min="3" max="3" width="14.6640625" customWidth="1"/>
    <col min="4" max="4" width="13.33203125" customWidth="1"/>
    <col min="5" max="6" width="11.109375" bestFit="1" customWidth="1"/>
    <col min="7" max="7" width="13.44140625" customWidth="1"/>
    <col min="8" max="9" width="11.109375" bestFit="1" customWidth="1"/>
    <col min="11" max="11" width="11.109375" bestFit="1" customWidth="1"/>
    <col min="12" max="12" width="11" bestFit="1" customWidth="1"/>
    <col min="13" max="13" width="11.109375" bestFit="1" customWidth="1"/>
  </cols>
  <sheetData>
    <row r="1" spans="1:13" x14ac:dyDescent="0.3">
      <c r="A1" s="15" t="s">
        <v>28</v>
      </c>
      <c r="B1" s="15" t="s">
        <v>45</v>
      </c>
      <c r="C1" s="15" t="s">
        <v>46</v>
      </c>
      <c r="D1" s="15" t="s">
        <v>47</v>
      </c>
      <c r="E1" s="15" t="s">
        <v>48</v>
      </c>
      <c r="F1" s="15" t="s">
        <v>49</v>
      </c>
      <c r="G1" s="15" t="s">
        <v>50</v>
      </c>
      <c r="H1" s="15" t="s">
        <v>51</v>
      </c>
      <c r="I1" s="15" t="s">
        <v>27</v>
      </c>
      <c r="J1" s="15" t="s">
        <v>29</v>
      </c>
      <c r="K1" s="15" t="s">
        <v>30</v>
      </c>
      <c r="L1" s="15" t="s">
        <v>31</v>
      </c>
      <c r="M1" s="15" t="s">
        <v>32</v>
      </c>
    </row>
    <row r="2" spans="1:13" x14ac:dyDescent="0.3">
      <c r="A2" s="25" t="s">
        <v>2</v>
      </c>
      <c r="B2" s="24">
        <f>Enero_26!H57</f>
        <v>12780932</v>
      </c>
      <c r="C2" s="24">
        <f>Febrero_26!H51</f>
        <v>7984612</v>
      </c>
      <c r="D2" s="24"/>
      <c r="E2" s="24"/>
      <c r="F2" s="24"/>
      <c r="G2" s="24"/>
      <c r="H2" s="24"/>
      <c r="I2" s="24"/>
      <c r="J2" s="24"/>
      <c r="K2" s="24"/>
      <c r="L2" s="24"/>
      <c r="M2" s="24"/>
    </row>
    <row r="3" spans="1:13" x14ac:dyDescent="0.3">
      <c r="A3" s="26" t="s">
        <v>11</v>
      </c>
      <c r="B3" s="24">
        <f>Enero_26!I57</f>
        <v>9651752</v>
      </c>
      <c r="C3" s="24">
        <f>Febrero_26!I51</f>
        <v>6619523</v>
      </c>
      <c r="D3" s="24"/>
      <c r="E3" s="24"/>
      <c r="F3" s="24"/>
      <c r="G3" s="24"/>
      <c r="H3" s="24"/>
      <c r="I3" s="24"/>
      <c r="J3" s="24"/>
      <c r="K3" s="24"/>
      <c r="L3" s="24"/>
      <c r="M3" s="24"/>
    </row>
    <row r="4" spans="1:13" x14ac:dyDescent="0.3">
      <c r="A4" s="19" t="s">
        <v>3</v>
      </c>
      <c r="B4" s="24">
        <f>Enero_26!J57</f>
        <v>3129180</v>
      </c>
      <c r="C4" s="24">
        <f>Febrero_26!J51</f>
        <v>1365089</v>
      </c>
      <c r="D4" s="24"/>
      <c r="E4" s="24"/>
      <c r="F4" s="24"/>
      <c r="G4" s="24"/>
      <c r="H4" s="24"/>
      <c r="I4" s="24"/>
      <c r="J4" s="24"/>
      <c r="K4" s="24"/>
      <c r="L4" s="24"/>
      <c r="M4" s="24"/>
    </row>
    <row r="24" spans="1:4" x14ac:dyDescent="0.3">
      <c r="A24" s="15" t="s">
        <v>28</v>
      </c>
      <c r="B24" s="15" t="s">
        <v>2</v>
      </c>
      <c r="C24" s="15" t="s">
        <v>3</v>
      </c>
      <c r="D24" s="15" t="s">
        <v>33</v>
      </c>
    </row>
    <row r="25" spans="1:4" x14ac:dyDescent="0.3">
      <c r="A25" s="19" t="s">
        <v>45</v>
      </c>
      <c r="B25" s="24">
        <f>B2</f>
        <v>12780932</v>
      </c>
      <c r="C25" s="24">
        <f>B4</f>
        <v>3129180</v>
      </c>
      <c r="D25" s="128">
        <f>(C25*100/B25)/100</f>
        <v>0.2448319105367277</v>
      </c>
    </row>
    <row r="26" spans="1:4" x14ac:dyDescent="0.3">
      <c r="A26" s="19" t="s">
        <v>46</v>
      </c>
      <c r="B26" s="24"/>
      <c r="C26" s="24"/>
      <c r="D26" s="129" t="e">
        <f>(C26*100/B26)/100</f>
        <v>#DIV/0!</v>
      </c>
    </row>
    <row r="27" spans="1:4" x14ac:dyDescent="0.3">
      <c r="A27" s="19" t="s">
        <v>47</v>
      </c>
      <c r="B27" s="24"/>
      <c r="C27" s="24"/>
      <c r="D27" s="130" t="e">
        <f>(C27*100/B27)/100</f>
        <v>#DIV/0!</v>
      </c>
    </row>
    <row r="28" spans="1:4" x14ac:dyDescent="0.3">
      <c r="A28" s="19" t="s">
        <v>48</v>
      </c>
      <c r="B28" s="24"/>
      <c r="C28" s="24"/>
      <c r="D28" s="129" t="e">
        <f>(C28*100/B28)/100</f>
        <v>#DIV/0!</v>
      </c>
    </row>
    <row r="29" spans="1:4" x14ac:dyDescent="0.3">
      <c r="A29" s="19" t="s">
        <v>49</v>
      </c>
      <c r="B29" s="24"/>
      <c r="C29" s="24"/>
      <c r="D29" s="130" t="e">
        <f>(C29*100/B29)/100</f>
        <v>#DIV/0!</v>
      </c>
    </row>
    <row r="30" spans="1:4" x14ac:dyDescent="0.3">
      <c r="A30" s="19" t="s">
        <v>50</v>
      </c>
      <c r="B30" s="24"/>
      <c r="C30" s="24"/>
      <c r="D30" s="128" t="e">
        <f t="shared" ref="D30:D36" si="0">(C30*100/B30)/100</f>
        <v>#DIV/0!</v>
      </c>
    </row>
    <row r="31" spans="1:4" x14ac:dyDescent="0.3">
      <c r="A31" s="19" t="s">
        <v>51</v>
      </c>
      <c r="B31" s="24"/>
      <c r="C31" s="24"/>
      <c r="D31" s="130" t="e">
        <f t="shared" si="0"/>
        <v>#DIV/0!</v>
      </c>
    </row>
    <row r="32" spans="1:4" x14ac:dyDescent="0.3">
      <c r="A32" s="19" t="s">
        <v>27</v>
      </c>
      <c r="B32" s="24"/>
      <c r="C32" s="24"/>
      <c r="D32" s="128" t="e">
        <f t="shared" si="0"/>
        <v>#DIV/0!</v>
      </c>
    </row>
    <row r="33" spans="1:8" x14ac:dyDescent="0.3">
      <c r="A33" s="19" t="s">
        <v>29</v>
      </c>
      <c r="B33" s="24"/>
      <c r="C33" s="24"/>
      <c r="D33" s="129" t="e">
        <f t="shared" si="0"/>
        <v>#DIV/0!</v>
      </c>
    </row>
    <row r="34" spans="1:8" x14ac:dyDescent="0.3">
      <c r="A34" s="19" t="s">
        <v>30</v>
      </c>
      <c r="B34" s="24"/>
      <c r="C34" s="24"/>
      <c r="D34" s="129" t="e">
        <f t="shared" si="0"/>
        <v>#DIV/0!</v>
      </c>
    </row>
    <row r="35" spans="1:8" x14ac:dyDescent="0.3">
      <c r="A35" s="19" t="s">
        <v>31</v>
      </c>
      <c r="B35" s="24"/>
      <c r="C35" s="24"/>
      <c r="D35" s="130" t="e">
        <f t="shared" si="0"/>
        <v>#DIV/0!</v>
      </c>
    </row>
    <row r="36" spans="1:8" x14ac:dyDescent="0.3">
      <c r="A36" s="19" t="s">
        <v>32</v>
      </c>
      <c r="B36" s="24"/>
      <c r="C36" s="24"/>
      <c r="D36" s="129" t="e">
        <f t="shared" si="0"/>
        <v>#DIV/0!</v>
      </c>
    </row>
    <row r="37" spans="1:8" x14ac:dyDescent="0.3">
      <c r="A37" s="15" t="s">
        <v>44</v>
      </c>
      <c r="B37" s="73">
        <f>AVERAGEA(B25:B36)</f>
        <v>12780932</v>
      </c>
      <c r="C37" s="73">
        <f>AVERAGEA(C25:C36)</f>
        <v>3129180</v>
      </c>
      <c r="D37" s="129" t="e">
        <f>AVERAGEA(D25:D36)</f>
        <v>#DIV/0!</v>
      </c>
    </row>
    <row r="39" spans="1:8" ht="15" thickBot="1" x14ac:dyDescent="0.35"/>
    <row r="40" spans="1:8" ht="15" thickBot="1" x14ac:dyDescent="0.35">
      <c r="E40" s="271" t="s">
        <v>57</v>
      </c>
      <c r="F40" s="272"/>
      <c r="G40" s="139" t="s">
        <v>58</v>
      </c>
      <c r="H40" s="140" t="s">
        <v>59</v>
      </c>
    </row>
    <row r="41" spans="1:8" ht="15" thickBot="1" x14ac:dyDescent="0.35">
      <c r="E41" s="273" t="s">
        <v>60</v>
      </c>
      <c r="F41" s="274"/>
      <c r="G41" s="141" t="s">
        <v>63</v>
      </c>
      <c r="H41" s="136"/>
    </row>
    <row r="42" spans="1:8" ht="15" thickBot="1" x14ac:dyDescent="0.35">
      <c r="E42" s="275" t="s">
        <v>61</v>
      </c>
      <c r="F42" s="276"/>
      <c r="G42" s="142" t="s">
        <v>64</v>
      </c>
      <c r="H42" s="137"/>
    </row>
    <row r="43" spans="1:8" ht="15" thickBot="1" x14ac:dyDescent="0.35">
      <c r="E43" s="273" t="s">
        <v>62</v>
      </c>
      <c r="F43" s="274"/>
      <c r="G43" s="141" t="s">
        <v>65</v>
      </c>
      <c r="H43" s="138"/>
    </row>
  </sheetData>
  <mergeCells count="4">
    <mergeCell ref="E40:F40"/>
    <mergeCell ref="E41:F41"/>
    <mergeCell ref="E42:F42"/>
    <mergeCell ref="E43:F4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tint="-0.249977111117893"/>
  </sheetPr>
  <dimension ref="A1:M43"/>
  <sheetViews>
    <sheetView showGridLines="0" zoomScale="85" zoomScaleNormal="85" workbookViewId="0">
      <selection activeCell="U41" sqref="U41"/>
    </sheetView>
  </sheetViews>
  <sheetFormatPr baseColWidth="10" defaultRowHeight="14.4" x14ac:dyDescent="0.3"/>
  <cols>
    <col min="1" max="1" width="10.44140625" customWidth="1"/>
    <col min="2" max="2" width="12.6640625" customWidth="1"/>
    <col min="3" max="3" width="14.6640625" customWidth="1"/>
    <col min="4" max="4" width="13.33203125" customWidth="1"/>
    <col min="5" max="6" width="11.109375" bestFit="1" customWidth="1"/>
    <col min="7" max="7" width="13.44140625" customWidth="1"/>
    <col min="8" max="9" width="11.109375" bestFit="1" customWidth="1"/>
    <col min="11" max="11" width="11.109375" bestFit="1" customWidth="1"/>
    <col min="12" max="12" width="11" bestFit="1" customWidth="1"/>
    <col min="13" max="13" width="11.109375" bestFit="1" customWidth="1"/>
  </cols>
  <sheetData>
    <row r="1" spans="1:13" x14ac:dyDescent="0.3">
      <c r="A1" s="15" t="s">
        <v>28</v>
      </c>
      <c r="B1" s="15" t="s">
        <v>45</v>
      </c>
      <c r="C1" s="15" t="s">
        <v>46</v>
      </c>
      <c r="D1" s="15" t="s">
        <v>47</v>
      </c>
      <c r="E1" s="15" t="s">
        <v>48</v>
      </c>
      <c r="F1" s="15" t="s">
        <v>49</v>
      </c>
      <c r="G1" s="15" t="s">
        <v>50</v>
      </c>
      <c r="H1" s="15" t="s">
        <v>51</v>
      </c>
      <c r="I1" s="15" t="s">
        <v>27</v>
      </c>
      <c r="J1" s="15" t="s">
        <v>29</v>
      </c>
      <c r="K1" s="15" t="s">
        <v>30</v>
      </c>
      <c r="L1" s="15" t="s">
        <v>31</v>
      </c>
      <c r="M1" s="15" t="s">
        <v>32</v>
      </c>
    </row>
    <row r="2" spans="1:13" x14ac:dyDescent="0.3">
      <c r="A2" s="25" t="s">
        <v>2</v>
      </c>
      <c r="B2" s="24">
        <v>10287446</v>
      </c>
      <c r="C2" s="24">
        <v>16394489</v>
      </c>
      <c r="D2" s="24">
        <v>19438482</v>
      </c>
      <c r="E2" s="24">
        <v>24103384</v>
      </c>
      <c r="F2" s="24">
        <v>25255179</v>
      </c>
      <c r="G2" s="24">
        <v>22712881</v>
      </c>
      <c r="H2" s="24">
        <v>17905501</v>
      </c>
      <c r="I2" s="24">
        <v>22131598</v>
      </c>
      <c r="J2" s="24">
        <v>21336631</v>
      </c>
      <c r="K2" s="24">
        <v>22846807</v>
      </c>
      <c r="L2" s="24">
        <v>17439857</v>
      </c>
      <c r="M2" s="24">
        <v>15577506</v>
      </c>
    </row>
    <row r="3" spans="1:13" x14ac:dyDescent="0.3">
      <c r="A3" s="26" t="s">
        <v>11</v>
      </c>
      <c r="B3" s="24">
        <v>7130047</v>
      </c>
      <c r="C3" s="24">
        <v>10442183</v>
      </c>
      <c r="D3" s="24">
        <v>11713691</v>
      </c>
      <c r="E3" s="24">
        <v>14982902</v>
      </c>
      <c r="F3" s="24">
        <v>14083777</v>
      </c>
      <c r="G3" s="24">
        <v>14858214</v>
      </c>
      <c r="H3" s="24">
        <v>10150223</v>
      </c>
      <c r="I3" s="24">
        <v>14790380</v>
      </c>
      <c r="J3" s="24">
        <v>13756509</v>
      </c>
      <c r="K3" s="24">
        <v>13850929</v>
      </c>
      <c r="L3" s="24">
        <v>9247295</v>
      </c>
      <c r="M3" s="24">
        <v>9725418</v>
      </c>
    </row>
    <row r="4" spans="1:13" x14ac:dyDescent="0.3">
      <c r="A4" s="19" t="s">
        <v>3</v>
      </c>
      <c r="B4" s="24">
        <v>3157399</v>
      </c>
      <c r="C4" s="24">
        <v>5952306</v>
      </c>
      <c r="D4" s="24">
        <v>7724791</v>
      </c>
      <c r="E4" s="24">
        <v>9120482</v>
      </c>
      <c r="F4" s="24">
        <v>11171402</v>
      </c>
      <c r="G4" s="24">
        <v>7854667</v>
      </c>
      <c r="H4" s="24">
        <v>7755278</v>
      </c>
      <c r="I4" s="24">
        <v>7341218</v>
      </c>
      <c r="J4" s="24">
        <v>7580122</v>
      </c>
      <c r="K4" s="24">
        <v>8995878</v>
      </c>
      <c r="L4" s="24">
        <v>8192562</v>
      </c>
      <c r="M4" s="24">
        <v>5852088</v>
      </c>
    </row>
    <row r="24" spans="1:4" x14ac:dyDescent="0.3">
      <c r="A24" s="15" t="s">
        <v>28</v>
      </c>
      <c r="B24" s="15" t="s">
        <v>2</v>
      </c>
      <c r="C24" s="15" t="s">
        <v>3</v>
      </c>
      <c r="D24" s="15" t="s">
        <v>33</v>
      </c>
    </row>
    <row r="25" spans="1:4" x14ac:dyDescent="0.3">
      <c r="A25" s="19" t="s">
        <v>45</v>
      </c>
      <c r="B25" s="24">
        <v>10287446</v>
      </c>
      <c r="C25" s="24">
        <v>3157399</v>
      </c>
      <c r="D25" s="128">
        <f>(C25*100/B25)/100</f>
        <v>0.30691767422157062</v>
      </c>
    </row>
    <row r="26" spans="1:4" x14ac:dyDescent="0.3">
      <c r="A26" s="19" t="s">
        <v>46</v>
      </c>
      <c r="B26" s="24">
        <v>16394489</v>
      </c>
      <c r="C26" s="24">
        <v>5952306</v>
      </c>
      <c r="D26" s="129">
        <f>(C26*100/B26)/100</f>
        <v>0.36306749176506814</v>
      </c>
    </row>
    <row r="27" spans="1:4" x14ac:dyDescent="0.3">
      <c r="A27" s="19" t="s">
        <v>47</v>
      </c>
      <c r="B27" s="24">
        <v>19438482</v>
      </c>
      <c r="C27" s="24">
        <v>7724791</v>
      </c>
      <c r="D27" s="130">
        <f>(C27*100/B27)/100</f>
        <v>0.3973968234762365</v>
      </c>
    </row>
    <row r="28" spans="1:4" x14ac:dyDescent="0.3">
      <c r="A28" s="19" t="s">
        <v>48</v>
      </c>
      <c r="B28" s="24">
        <v>24103384</v>
      </c>
      <c r="C28" s="24">
        <v>9120482</v>
      </c>
      <c r="D28" s="129">
        <f>(C28*100/B28)/100</f>
        <v>0.37839010489149572</v>
      </c>
    </row>
    <row r="29" spans="1:4" x14ac:dyDescent="0.3">
      <c r="A29" s="19" t="s">
        <v>49</v>
      </c>
      <c r="B29" s="24">
        <v>25255179</v>
      </c>
      <c r="C29" s="24">
        <v>11171402</v>
      </c>
      <c r="D29" s="130">
        <f>(C29*100/B29)/100</f>
        <v>0.44234103428845228</v>
      </c>
    </row>
    <row r="30" spans="1:4" x14ac:dyDescent="0.3">
      <c r="A30" s="19" t="s">
        <v>50</v>
      </c>
      <c r="B30" s="24">
        <v>22712881</v>
      </c>
      <c r="C30" s="24">
        <v>7854667</v>
      </c>
      <c r="D30" s="128">
        <f t="shared" ref="D30:D36" si="0">(C30*100/B30)/100</f>
        <v>0.34582433641949689</v>
      </c>
    </row>
    <row r="31" spans="1:4" x14ac:dyDescent="0.3">
      <c r="A31" s="19" t="s">
        <v>51</v>
      </c>
      <c r="B31" s="24">
        <v>17905501</v>
      </c>
      <c r="C31" s="24">
        <v>7755278</v>
      </c>
      <c r="D31" s="130">
        <f t="shared" si="0"/>
        <v>0.43312264761538927</v>
      </c>
    </row>
    <row r="32" spans="1:4" x14ac:dyDescent="0.3">
      <c r="A32" s="19" t="s">
        <v>27</v>
      </c>
      <c r="B32" s="24">
        <v>22131598</v>
      </c>
      <c r="C32" s="24">
        <v>7341218</v>
      </c>
      <c r="D32" s="128">
        <f t="shared" si="0"/>
        <v>0.33170754321490931</v>
      </c>
    </row>
    <row r="33" spans="1:8" x14ac:dyDescent="0.3">
      <c r="A33" s="19" t="s">
        <v>29</v>
      </c>
      <c r="B33" s="24">
        <v>21336631</v>
      </c>
      <c r="C33" s="24">
        <v>7580122</v>
      </c>
      <c r="D33" s="129">
        <f t="shared" si="0"/>
        <v>0.35526330281476959</v>
      </c>
    </row>
    <row r="34" spans="1:8" x14ac:dyDescent="0.3">
      <c r="A34" s="19" t="s">
        <v>30</v>
      </c>
      <c r="B34" s="24">
        <v>22846807</v>
      </c>
      <c r="C34" s="24">
        <v>8995878</v>
      </c>
      <c r="D34" s="129">
        <f t="shared" si="0"/>
        <v>0.39374771275478454</v>
      </c>
    </row>
    <row r="35" spans="1:8" x14ac:dyDescent="0.3">
      <c r="A35" s="19" t="s">
        <v>31</v>
      </c>
      <c r="B35" s="24">
        <v>17439857</v>
      </c>
      <c r="C35" s="24">
        <v>8192562</v>
      </c>
      <c r="D35" s="130">
        <f t="shared" si="0"/>
        <v>0.46976084723630473</v>
      </c>
    </row>
    <row r="36" spans="1:8" x14ac:dyDescent="0.3">
      <c r="A36" s="19" t="s">
        <v>32</v>
      </c>
      <c r="B36" s="24">
        <v>15577506</v>
      </c>
      <c r="C36" s="24">
        <v>5852088</v>
      </c>
      <c r="D36" s="129">
        <f t="shared" si="0"/>
        <v>0.3756755413864068</v>
      </c>
    </row>
    <row r="37" spans="1:8" x14ac:dyDescent="0.3">
      <c r="A37" s="15" t="s">
        <v>44</v>
      </c>
      <c r="B37" s="73">
        <f>AVERAGEA(B25:B36)</f>
        <v>19619146.75</v>
      </c>
      <c r="C37" s="73">
        <f>AVERAGEA(C25:C36)</f>
        <v>7558182.75</v>
      </c>
      <c r="D37" s="129">
        <f>AVERAGEA(D25:D36)</f>
        <v>0.38276792167374035</v>
      </c>
    </row>
    <row r="39" spans="1:8" ht="15" thickBot="1" x14ac:dyDescent="0.35"/>
    <row r="40" spans="1:8" ht="15" thickBot="1" x14ac:dyDescent="0.35">
      <c r="E40" s="271" t="s">
        <v>57</v>
      </c>
      <c r="F40" s="272"/>
      <c r="G40" s="139" t="s">
        <v>58</v>
      </c>
      <c r="H40" s="140" t="s">
        <v>59</v>
      </c>
    </row>
    <row r="41" spans="1:8" ht="15" thickBot="1" x14ac:dyDescent="0.35">
      <c r="E41" s="273" t="s">
        <v>60</v>
      </c>
      <c r="F41" s="274"/>
      <c r="G41" s="141" t="s">
        <v>63</v>
      </c>
      <c r="H41" s="136"/>
    </row>
    <row r="42" spans="1:8" ht="15" thickBot="1" x14ac:dyDescent="0.35">
      <c r="E42" s="275" t="s">
        <v>61</v>
      </c>
      <c r="F42" s="276"/>
      <c r="G42" s="142" t="s">
        <v>64</v>
      </c>
      <c r="H42" s="137"/>
    </row>
    <row r="43" spans="1:8" ht="15" thickBot="1" x14ac:dyDescent="0.35">
      <c r="E43" s="273" t="s">
        <v>62</v>
      </c>
      <c r="F43" s="274"/>
      <c r="G43" s="141" t="s">
        <v>65</v>
      </c>
      <c r="H43" s="138"/>
    </row>
  </sheetData>
  <mergeCells count="4">
    <mergeCell ref="E40:F40"/>
    <mergeCell ref="E41:F41"/>
    <mergeCell ref="E42:F42"/>
    <mergeCell ref="E43:F4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9.9978637043366805E-2"/>
  </sheetPr>
  <dimension ref="A1:T77"/>
  <sheetViews>
    <sheetView showGridLines="0" zoomScale="85" zoomScaleNormal="85" workbookViewId="0">
      <pane xSplit="3" ySplit="2" topLeftCell="E3" activePane="bottomRight" state="frozen"/>
      <selection activeCell="S39" sqref="S39"/>
      <selection pane="topRight" activeCell="S39" sqref="S39"/>
      <selection pane="bottomLeft" activeCell="S39" sqref="S39"/>
      <selection pane="bottomRight" activeCell="S39" sqref="S39"/>
    </sheetView>
  </sheetViews>
  <sheetFormatPr baseColWidth="10" defaultRowHeight="14.4" x14ac:dyDescent="0.3"/>
  <cols>
    <col min="1" max="1" width="8.88671875" customWidth="1"/>
    <col min="2" max="2" width="10.88671875" style="1" customWidth="1"/>
    <col min="3" max="3" width="8.88671875" style="1" customWidth="1"/>
    <col min="4" max="4" width="13.33203125" style="1" customWidth="1"/>
    <col min="5" max="5" width="11.88671875" style="1" customWidth="1"/>
    <col min="6" max="6" width="11.33203125" style="1" customWidth="1"/>
    <col min="7" max="7" width="11.44140625" style="1" customWidth="1"/>
    <col min="8" max="8" width="13.44140625" style="1" customWidth="1"/>
    <col min="9" max="9" width="10.6640625" style="1" customWidth="1"/>
    <col min="10" max="10" width="12" bestFit="1" customWidth="1"/>
    <col min="11" max="11" width="12.33203125" bestFit="1" customWidth="1"/>
  </cols>
  <sheetData>
    <row r="1" spans="1:9" x14ac:dyDescent="0.3">
      <c r="A1" s="241" t="s">
        <v>12</v>
      </c>
      <c r="B1" s="241" t="s">
        <v>0</v>
      </c>
      <c r="C1" s="241" t="s">
        <v>1</v>
      </c>
      <c r="D1" s="243" t="s">
        <v>7</v>
      </c>
      <c r="E1" s="244"/>
      <c r="F1" s="244"/>
      <c r="G1" s="245" t="s">
        <v>10</v>
      </c>
      <c r="H1" s="246"/>
      <c r="I1" s="247"/>
    </row>
    <row r="2" spans="1:9" x14ac:dyDescent="0.3">
      <c r="A2" s="242"/>
      <c r="B2" s="242"/>
      <c r="C2" s="242"/>
      <c r="D2" s="4" t="s">
        <v>4</v>
      </c>
      <c r="E2" s="5" t="s">
        <v>5</v>
      </c>
      <c r="F2" s="7" t="s">
        <v>6</v>
      </c>
      <c r="G2" s="8" t="s">
        <v>2</v>
      </c>
      <c r="H2" s="5" t="s">
        <v>11</v>
      </c>
      <c r="I2" s="9" t="s">
        <v>3</v>
      </c>
    </row>
    <row r="3" spans="1:9" x14ac:dyDescent="0.3">
      <c r="A3" s="262" t="s">
        <v>13</v>
      </c>
      <c r="B3" s="264">
        <v>45689</v>
      </c>
      <c r="C3" s="58" t="s">
        <v>8</v>
      </c>
      <c r="D3" s="52">
        <v>142423</v>
      </c>
      <c r="E3" s="46">
        <v>300000</v>
      </c>
      <c r="F3" s="46">
        <f t="shared" ref="F3:F14" si="0">D3-E3</f>
        <v>-157577</v>
      </c>
      <c r="G3" s="266">
        <f>D3+D4</f>
        <v>318646</v>
      </c>
      <c r="H3" s="266">
        <f>E3+E4</f>
        <v>688525</v>
      </c>
      <c r="I3" s="266">
        <f>G3-H3</f>
        <v>-369879</v>
      </c>
    </row>
    <row r="4" spans="1:9" ht="15" thickBot="1" x14ac:dyDescent="0.35">
      <c r="A4" s="263"/>
      <c r="B4" s="265"/>
      <c r="C4" s="59" t="s">
        <v>9</v>
      </c>
      <c r="D4" s="53">
        <v>176223</v>
      </c>
      <c r="E4" s="47">
        <v>388525</v>
      </c>
      <c r="F4" s="47">
        <f t="shared" si="0"/>
        <v>-212302</v>
      </c>
      <c r="G4" s="267"/>
      <c r="H4" s="267"/>
      <c r="I4" s="267"/>
    </row>
    <row r="5" spans="1:9" x14ac:dyDescent="0.3">
      <c r="A5" s="219" t="s">
        <v>17</v>
      </c>
      <c r="B5" s="196">
        <v>45691</v>
      </c>
      <c r="C5" s="60" t="s">
        <v>8</v>
      </c>
      <c r="D5" s="23">
        <v>150615</v>
      </c>
      <c r="E5" s="3">
        <f>46200+12100+14000</f>
        <v>72300</v>
      </c>
      <c r="F5" s="3">
        <f t="shared" si="0"/>
        <v>78315</v>
      </c>
      <c r="G5" s="220">
        <f>D5+D6</f>
        <v>457375</v>
      </c>
      <c r="H5" s="220">
        <f>E5+E6</f>
        <v>243714</v>
      </c>
      <c r="I5" s="221">
        <f>G5-H5</f>
        <v>213661</v>
      </c>
    </row>
    <row r="6" spans="1:9" ht="15" thickBot="1" x14ac:dyDescent="0.35">
      <c r="A6" s="194"/>
      <c r="B6" s="197"/>
      <c r="C6" s="61" t="s">
        <v>9</v>
      </c>
      <c r="D6" s="22">
        <v>306760</v>
      </c>
      <c r="E6" s="2">
        <v>171414</v>
      </c>
      <c r="F6" s="2">
        <f t="shared" si="0"/>
        <v>135346</v>
      </c>
      <c r="G6" s="198"/>
      <c r="H6" s="198"/>
      <c r="I6" s="200"/>
    </row>
    <row r="7" spans="1:9" x14ac:dyDescent="0.3">
      <c r="A7" s="194" t="s">
        <v>18</v>
      </c>
      <c r="B7" s="196">
        <v>45692</v>
      </c>
      <c r="C7" s="61" t="s">
        <v>8</v>
      </c>
      <c r="D7" s="22">
        <v>250873</v>
      </c>
      <c r="E7" s="2">
        <f>57861+9000+27000</f>
        <v>93861</v>
      </c>
      <c r="F7" s="2">
        <f t="shared" si="0"/>
        <v>157012</v>
      </c>
      <c r="G7" s="198">
        <f>D7+D8</f>
        <v>561223</v>
      </c>
      <c r="H7" s="198">
        <f>E7+E8</f>
        <v>131484</v>
      </c>
      <c r="I7" s="200">
        <f>G7-H7</f>
        <v>429739</v>
      </c>
    </row>
    <row r="8" spans="1:9" ht="15" thickBot="1" x14ac:dyDescent="0.35">
      <c r="A8" s="194"/>
      <c r="B8" s="197"/>
      <c r="C8" s="61" t="s">
        <v>9</v>
      </c>
      <c r="D8" s="22">
        <v>310350</v>
      </c>
      <c r="E8" s="2">
        <f>9000+28623</f>
        <v>37623</v>
      </c>
      <c r="F8" s="2">
        <f t="shared" si="0"/>
        <v>272727</v>
      </c>
      <c r="G8" s="198"/>
      <c r="H8" s="198"/>
      <c r="I8" s="200"/>
    </row>
    <row r="9" spans="1:9" x14ac:dyDescent="0.3">
      <c r="A9" s="194" t="s">
        <v>19</v>
      </c>
      <c r="B9" s="196">
        <v>45693</v>
      </c>
      <c r="C9" s="61" t="s">
        <v>8</v>
      </c>
      <c r="D9" s="22">
        <v>351229</v>
      </c>
      <c r="E9" s="2">
        <f>26400+13000+12700+48770+18798+102300+51885+7000</f>
        <v>280853</v>
      </c>
      <c r="F9" s="2">
        <f t="shared" si="0"/>
        <v>70376</v>
      </c>
      <c r="G9" s="198">
        <f>D9+D10</f>
        <v>580881</v>
      </c>
      <c r="H9" s="198">
        <f>E9+E10</f>
        <v>481584</v>
      </c>
      <c r="I9" s="200">
        <f>G9-H9</f>
        <v>99297</v>
      </c>
    </row>
    <row r="10" spans="1:9" ht="15" thickBot="1" x14ac:dyDescent="0.35">
      <c r="A10" s="194"/>
      <c r="B10" s="197"/>
      <c r="C10" s="61" t="s">
        <v>9</v>
      </c>
      <c r="D10" s="22">
        <v>229652</v>
      </c>
      <c r="E10" s="2">
        <f>41568+50000+74660+24503+10000</f>
        <v>200731</v>
      </c>
      <c r="F10" s="2">
        <f t="shared" si="0"/>
        <v>28921</v>
      </c>
      <c r="G10" s="198"/>
      <c r="H10" s="198"/>
      <c r="I10" s="200"/>
    </row>
    <row r="11" spans="1:9" x14ac:dyDescent="0.3">
      <c r="A11" s="194" t="s">
        <v>15</v>
      </c>
      <c r="B11" s="196">
        <v>45694</v>
      </c>
      <c r="C11" s="61" t="s">
        <v>8</v>
      </c>
      <c r="D11" s="22">
        <v>320291</v>
      </c>
      <c r="E11" s="2">
        <f>123000+117136+88757</f>
        <v>328893</v>
      </c>
      <c r="F11" s="2">
        <f t="shared" si="0"/>
        <v>-8602</v>
      </c>
      <c r="G11" s="198">
        <f>D11+D12</f>
        <v>541892</v>
      </c>
      <c r="H11" s="198">
        <f>E11+E12</f>
        <v>537996</v>
      </c>
      <c r="I11" s="200">
        <f>G11-H11</f>
        <v>3896</v>
      </c>
    </row>
    <row r="12" spans="1:9" ht="15" thickBot="1" x14ac:dyDescent="0.35">
      <c r="A12" s="194"/>
      <c r="B12" s="197"/>
      <c r="C12" s="61" t="s">
        <v>9</v>
      </c>
      <c r="D12" s="22">
        <v>221601</v>
      </c>
      <c r="E12" s="2">
        <f>90000+9000+16800+15000+18900+22500+29403+7500</f>
        <v>209103</v>
      </c>
      <c r="F12" s="2">
        <f t="shared" si="0"/>
        <v>12498</v>
      </c>
      <c r="G12" s="198"/>
      <c r="H12" s="198"/>
      <c r="I12" s="200"/>
    </row>
    <row r="13" spans="1:9" x14ac:dyDescent="0.3">
      <c r="A13" s="234" t="s">
        <v>16</v>
      </c>
      <c r="B13" s="196">
        <v>45695</v>
      </c>
      <c r="C13" s="67" t="s">
        <v>8</v>
      </c>
      <c r="D13" s="68">
        <v>278718</v>
      </c>
      <c r="E13" s="69">
        <f>15850</f>
        <v>15850</v>
      </c>
      <c r="F13" s="69">
        <f t="shared" si="0"/>
        <v>262868</v>
      </c>
      <c r="G13" s="236">
        <f>D13+D14</f>
        <v>556568</v>
      </c>
      <c r="H13" s="236">
        <f>E13+E14</f>
        <v>50950</v>
      </c>
      <c r="I13" s="238">
        <f>G13-H13</f>
        <v>505618</v>
      </c>
    </row>
    <row r="14" spans="1:9" ht="15" thickBot="1" x14ac:dyDescent="0.35">
      <c r="A14" s="268"/>
      <c r="B14" s="197"/>
      <c r="C14" s="70" t="s">
        <v>9</v>
      </c>
      <c r="D14" s="71">
        <v>277850</v>
      </c>
      <c r="E14" s="72">
        <f>35100</f>
        <v>35100</v>
      </c>
      <c r="F14" s="72">
        <f t="shared" si="0"/>
        <v>242750</v>
      </c>
      <c r="G14" s="269"/>
      <c r="H14" s="269"/>
      <c r="I14" s="270"/>
    </row>
    <row r="15" spans="1:9" x14ac:dyDescent="0.3">
      <c r="A15" s="213" t="s">
        <v>13</v>
      </c>
      <c r="B15" s="252">
        <v>45696</v>
      </c>
      <c r="C15" s="63" t="s">
        <v>8</v>
      </c>
      <c r="D15" s="54">
        <v>218916</v>
      </c>
      <c r="E15" s="48">
        <f>40000</f>
        <v>40000</v>
      </c>
      <c r="F15" s="48">
        <f>D15-E15</f>
        <v>178916</v>
      </c>
      <c r="G15" s="217">
        <f>D15+D16</f>
        <v>287916</v>
      </c>
      <c r="H15" s="217">
        <f>E15+E16</f>
        <v>40000</v>
      </c>
      <c r="I15" s="217">
        <f>G15-H15</f>
        <v>247916</v>
      </c>
    </row>
    <row r="16" spans="1:9" ht="15" thickBot="1" x14ac:dyDescent="0.35">
      <c r="A16" s="214"/>
      <c r="B16" s="279"/>
      <c r="C16" s="64" t="s">
        <v>9</v>
      </c>
      <c r="D16" s="55">
        <v>69000</v>
      </c>
      <c r="E16" s="49">
        <v>0</v>
      </c>
      <c r="F16" s="49">
        <f>D16-E16</f>
        <v>69000</v>
      </c>
      <c r="G16" s="218"/>
      <c r="H16" s="218"/>
      <c r="I16" s="218"/>
    </row>
    <row r="17" spans="1:20" x14ac:dyDescent="0.3">
      <c r="A17" s="219" t="s">
        <v>17</v>
      </c>
      <c r="B17" s="196">
        <v>45698</v>
      </c>
      <c r="C17" s="60" t="s">
        <v>8</v>
      </c>
      <c r="D17" s="23">
        <v>293598</v>
      </c>
      <c r="E17" s="3">
        <f>50944+12000+16850+32000</f>
        <v>111794</v>
      </c>
      <c r="F17" s="3">
        <f>D17-E17</f>
        <v>181804</v>
      </c>
      <c r="G17" s="220">
        <f>D17+D18</f>
        <v>556895</v>
      </c>
      <c r="H17" s="220">
        <f>E17+E18</f>
        <v>799882</v>
      </c>
      <c r="I17" s="221">
        <f>G17-H17</f>
        <v>-242987</v>
      </c>
      <c r="J17" s="248" t="s">
        <v>42</v>
      </c>
    </row>
    <row r="18" spans="1:20" ht="15" thickBot="1" x14ac:dyDescent="0.35">
      <c r="A18" s="194"/>
      <c r="B18" s="197"/>
      <c r="C18" s="61" t="s">
        <v>9</v>
      </c>
      <c r="D18" s="22">
        <v>263297</v>
      </c>
      <c r="E18" s="2">
        <f>119100+9000+109988+450000</f>
        <v>688088</v>
      </c>
      <c r="F18" s="2">
        <f>D18-E18</f>
        <v>-424791</v>
      </c>
      <c r="G18" s="198"/>
      <c r="H18" s="198"/>
      <c r="I18" s="200"/>
      <c r="J18" s="249"/>
    </row>
    <row r="19" spans="1:20" x14ac:dyDescent="0.3">
      <c r="A19" s="194" t="s">
        <v>18</v>
      </c>
      <c r="B19" s="196">
        <v>45699</v>
      </c>
      <c r="C19" s="61" t="s">
        <v>8</v>
      </c>
      <c r="D19" s="22">
        <v>441910</v>
      </c>
      <c r="E19" s="2">
        <f>12000+17700+108800+43626+7000</f>
        <v>189126</v>
      </c>
      <c r="F19" s="2">
        <f t="shared" ref="F19:F50" si="1">D19-E19</f>
        <v>252784</v>
      </c>
      <c r="G19" s="198">
        <f>D19+D20</f>
        <v>804760</v>
      </c>
      <c r="H19" s="198">
        <f>E19+E20</f>
        <v>368476</v>
      </c>
      <c r="I19" s="200">
        <f>G19-H19</f>
        <v>436284</v>
      </c>
    </row>
    <row r="20" spans="1:20" ht="15" thickBot="1" x14ac:dyDescent="0.35">
      <c r="A20" s="194"/>
      <c r="B20" s="197"/>
      <c r="C20" s="61" t="s">
        <v>9</v>
      </c>
      <c r="D20" s="22">
        <v>362850</v>
      </c>
      <c r="E20" s="2">
        <f>7000+58500+40000+34050+19800+20000</f>
        <v>179350</v>
      </c>
      <c r="F20" s="2">
        <f t="shared" si="1"/>
        <v>183500</v>
      </c>
      <c r="G20" s="198"/>
      <c r="H20" s="198"/>
      <c r="I20" s="200"/>
    </row>
    <row r="21" spans="1:20" x14ac:dyDescent="0.3">
      <c r="A21" s="194" t="s">
        <v>19</v>
      </c>
      <c r="B21" s="196">
        <v>45700</v>
      </c>
      <c r="C21" s="61" t="s">
        <v>8</v>
      </c>
      <c r="D21" s="2">
        <v>443564</v>
      </c>
      <c r="E21" s="2">
        <f>16000+7500+45000+122035+50943+26400+16200+81350</f>
        <v>365428</v>
      </c>
      <c r="F21" s="2">
        <f t="shared" si="1"/>
        <v>78136</v>
      </c>
      <c r="G21" s="198">
        <f>D21+D22</f>
        <v>680198</v>
      </c>
      <c r="H21" s="198">
        <f>E21+E22</f>
        <v>676585</v>
      </c>
      <c r="I21" s="200">
        <f>G21-H21</f>
        <v>3613</v>
      </c>
    </row>
    <row r="22" spans="1:20" ht="15" thickBot="1" x14ac:dyDescent="0.35">
      <c r="A22" s="194"/>
      <c r="B22" s="197"/>
      <c r="C22" s="61" t="s">
        <v>9</v>
      </c>
      <c r="D22" s="2">
        <v>236634</v>
      </c>
      <c r="E22" s="2">
        <f>191157+80000+40000</f>
        <v>311157</v>
      </c>
      <c r="F22" s="2">
        <f t="shared" si="1"/>
        <v>-74523</v>
      </c>
      <c r="G22" s="198"/>
      <c r="H22" s="198"/>
      <c r="I22" s="200"/>
    </row>
    <row r="23" spans="1:20" x14ac:dyDescent="0.3">
      <c r="A23" s="194" t="s">
        <v>15</v>
      </c>
      <c r="B23" s="196">
        <v>45701</v>
      </c>
      <c r="C23" s="61" t="s">
        <v>8</v>
      </c>
      <c r="D23" s="22">
        <v>420470</v>
      </c>
      <c r="E23" s="2">
        <f>148349</f>
        <v>148349</v>
      </c>
      <c r="F23" s="2">
        <f t="shared" si="1"/>
        <v>272121</v>
      </c>
      <c r="G23" s="198">
        <f>D23+D24</f>
        <v>811644</v>
      </c>
      <c r="H23" s="198">
        <f>E23+E24</f>
        <v>235743</v>
      </c>
      <c r="I23" s="200">
        <f>G23-H23</f>
        <v>575901</v>
      </c>
    </row>
    <row r="24" spans="1:20" ht="15" thickBot="1" x14ac:dyDescent="0.35">
      <c r="A24" s="194"/>
      <c r="B24" s="197"/>
      <c r="C24" s="61" t="s">
        <v>9</v>
      </c>
      <c r="D24" s="22">
        <v>391174</v>
      </c>
      <c r="E24" s="2">
        <f>30000+15000+22394+20000</f>
        <v>87394</v>
      </c>
      <c r="F24" s="2">
        <f t="shared" si="1"/>
        <v>303780</v>
      </c>
      <c r="G24" s="198"/>
      <c r="H24" s="198"/>
      <c r="I24" s="200"/>
    </row>
    <row r="25" spans="1:20" x14ac:dyDescent="0.3">
      <c r="A25" s="194" t="s">
        <v>16</v>
      </c>
      <c r="B25" s="196">
        <v>45702</v>
      </c>
      <c r="C25" s="61" t="s">
        <v>8</v>
      </c>
      <c r="D25" s="22">
        <v>454813</v>
      </c>
      <c r="E25" s="2">
        <f>15000+10600+12000+41370+321129</f>
        <v>400099</v>
      </c>
      <c r="F25" s="2">
        <f t="shared" si="1"/>
        <v>54714</v>
      </c>
      <c r="G25" s="198">
        <f>D25+D26</f>
        <v>821597</v>
      </c>
      <c r="H25" s="198">
        <f>E25+E26</f>
        <v>514981</v>
      </c>
      <c r="I25" s="200">
        <f>G25-H25</f>
        <v>306616</v>
      </c>
    </row>
    <row r="26" spans="1:20" ht="15" thickBot="1" x14ac:dyDescent="0.35">
      <c r="A26" s="222"/>
      <c r="B26" s="197"/>
      <c r="C26" s="62" t="s">
        <v>9</v>
      </c>
      <c r="D26" s="22">
        <v>366784</v>
      </c>
      <c r="E26" s="10">
        <f>53100+44350+17432</f>
        <v>114882</v>
      </c>
      <c r="F26" s="2">
        <f t="shared" si="1"/>
        <v>251902</v>
      </c>
      <c r="G26" s="198"/>
      <c r="H26" s="223"/>
      <c r="I26" s="225"/>
    </row>
    <row r="27" spans="1:20" x14ac:dyDescent="0.3">
      <c r="A27" s="262" t="s">
        <v>13</v>
      </c>
      <c r="B27" s="204">
        <v>45703</v>
      </c>
      <c r="C27" s="58" t="s">
        <v>8</v>
      </c>
      <c r="D27" s="52">
        <v>238025</v>
      </c>
      <c r="E27" s="46">
        <f>43200+13200</f>
        <v>56400</v>
      </c>
      <c r="F27" s="46">
        <f t="shared" si="1"/>
        <v>181625</v>
      </c>
      <c r="G27" s="266">
        <f>D27+D28</f>
        <v>513525</v>
      </c>
      <c r="H27" s="266">
        <f>E27+E28</f>
        <v>726985</v>
      </c>
      <c r="I27" s="266">
        <f>G27-H27</f>
        <v>-213460</v>
      </c>
    </row>
    <row r="28" spans="1:20" ht="15" thickBot="1" x14ac:dyDescent="0.35">
      <c r="A28" s="263"/>
      <c r="B28" s="280"/>
      <c r="C28" s="65" t="s">
        <v>35</v>
      </c>
      <c r="D28" s="53">
        <v>275500</v>
      </c>
      <c r="E28" s="47">
        <f>670585</f>
        <v>670585</v>
      </c>
      <c r="F28" s="47">
        <f t="shared" si="1"/>
        <v>-395085</v>
      </c>
      <c r="G28" s="267"/>
      <c r="H28" s="267"/>
      <c r="I28" s="267"/>
      <c r="S28" s="43"/>
      <c r="T28" t="s">
        <v>41</v>
      </c>
    </row>
    <row r="29" spans="1:20" s="1" customFormat="1" ht="14.25" customHeight="1" x14ac:dyDescent="0.3">
      <c r="A29" s="219" t="s">
        <v>17</v>
      </c>
      <c r="B29" s="196">
        <v>45705</v>
      </c>
      <c r="C29" s="60" t="s">
        <v>8</v>
      </c>
      <c r="D29" s="23">
        <v>429456</v>
      </c>
      <c r="E29" s="3">
        <f>173175+91800+19100</f>
        <v>284075</v>
      </c>
      <c r="F29" s="3">
        <f t="shared" si="1"/>
        <v>145381</v>
      </c>
      <c r="G29" s="220">
        <f>D29+D30</f>
        <v>809993</v>
      </c>
      <c r="H29" s="220">
        <f>E29+E30</f>
        <v>313075</v>
      </c>
      <c r="I29" s="221">
        <f>G29-H29</f>
        <v>496918</v>
      </c>
      <c r="J29"/>
      <c r="K29"/>
      <c r="L29"/>
      <c r="M29"/>
      <c r="N29"/>
      <c r="S29" s="42"/>
      <c r="T29" t="s">
        <v>40</v>
      </c>
    </row>
    <row r="30" spans="1:20" s="1" customFormat="1" ht="15" thickBot="1" x14ac:dyDescent="0.35">
      <c r="A30" s="194"/>
      <c r="B30" s="197"/>
      <c r="C30" s="61" t="s">
        <v>9</v>
      </c>
      <c r="D30" s="22">
        <v>380537</v>
      </c>
      <c r="E30" s="2">
        <f>12000+9000+8000</f>
        <v>29000</v>
      </c>
      <c r="F30" s="2">
        <f t="shared" si="1"/>
        <v>351537</v>
      </c>
      <c r="G30" s="198"/>
      <c r="H30" s="198"/>
      <c r="I30" s="200"/>
      <c r="J30"/>
      <c r="K30"/>
      <c r="L30"/>
      <c r="M30"/>
      <c r="N30"/>
    </row>
    <row r="31" spans="1:20" s="1" customFormat="1" x14ac:dyDescent="0.3">
      <c r="A31" s="194" t="s">
        <v>18</v>
      </c>
      <c r="B31" s="196">
        <v>45706</v>
      </c>
      <c r="C31" s="61" t="s">
        <v>8</v>
      </c>
      <c r="D31" s="22">
        <v>369568</v>
      </c>
      <c r="E31" s="2">
        <f>17750+16800+115560+66600</f>
        <v>216710</v>
      </c>
      <c r="F31" s="2">
        <f t="shared" si="1"/>
        <v>152858</v>
      </c>
      <c r="G31" s="198">
        <f>D31+D32</f>
        <v>670475</v>
      </c>
      <c r="H31" s="198">
        <f>E31+E32</f>
        <v>442247</v>
      </c>
      <c r="I31" s="200">
        <f>G31-H31</f>
        <v>228228</v>
      </c>
      <c r="J31"/>
      <c r="K31"/>
      <c r="L31"/>
      <c r="M31"/>
      <c r="N31"/>
    </row>
    <row r="32" spans="1:20" s="1" customFormat="1" ht="15" thickBot="1" x14ac:dyDescent="0.35">
      <c r="A32" s="194"/>
      <c r="B32" s="197"/>
      <c r="C32" s="61" t="s">
        <v>9</v>
      </c>
      <c r="D32" s="22">
        <v>300907</v>
      </c>
      <c r="E32" s="2">
        <f>48000+177537</f>
        <v>225537</v>
      </c>
      <c r="F32" s="2">
        <f t="shared" si="1"/>
        <v>75370</v>
      </c>
      <c r="G32" s="198"/>
      <c r="H32" s="198"/>
      <c r="I32" s="200"/>
      <c r="J32"/>
      <c r="K32"/>
      <c r="L32"/>
    </row>
    <row r="33" spans="1:16" s="1" customFormat="1" ht="14.25" customHeight="1" x14ac:dyDescent="0.3">
      <c r="A33" s="194" t="s">
        <v>19</v>
      </c>
      <c r="B33" s="196">
        <v>45707</v>
      </c>
      <c r="C33" s="66" t="s">
        <v>8</v>
      </c>
      <c r="D33" s="44">
        <v>556190</v>
      </c>
      <c r="E33" s="45">
        <f>13200+109100+9000+26400+123000</f>
        <v>280700</v>
      </c>
      <c r="F33" s="45">
        <f t="shared" si="1"/>
        <v>275490</v>
      </c>
      <c r="G33" s="211">
        <f>D33+D34</f>
        <v>802998</v>
      </c>
      <c r="H33" s="211">
        <f>E33+E34</f>
        <v>551026</v>
      </c>
      <c r="I33" s="212">
        <f>G33-H33</f>
        <v>251972</v>
      </c>
      <c r="J33" s="210"/>
      <c r="K33"/>
      <c r="L33"/>
    </row>
    <row r="34" spans="1:16" s="1" customFormat="1" ht="15" thickBot="1" x14ac:dyDescent="0.35">
      <c r="A34" s="194"/>
      <c r="B34" s="197"/>
      <c r="C34" s="66" t="s">
        <v>9</v>
      </c>
      <c r="D34" s="44">
        <v>246808</v>
      </c>
      <c r="E34" s="45">
        <f>270326</f>
        <v>270326</v>
      </c>
      <c r="F34" s="45">
        <f t="shared" si="1"/>
        <v>-23518</v>
      </c>
      <c r="G34" s="211"/>
      <c r="H34" s="211"/>
      <c r="I34" s="212"/>
      <c r="J34" s="210"/>
      <c r="K34"/>
      <c r="L34"/>
    </row>
    <row r="35" spans="1:16" s="1" customFormat="1" x14ac:dyDescent="0.3">
      <c r="A35" s="194" t="s">
        <v>15</v>
      </c>
      <c r="B35" s="196">
        <v>45708</v>
      </c>
      <c r="C35" s="61" t="s">
        <v>8</v>
      </c>
      <c r="D35" s="22">
        <v>459311</v>
      </c>
      <c r="E35" s="2">
        <f>43656+31500+19100+30000</f>
        <v>124256</v>
      </c>
      <c r="F35" s="2">
        <f t="shared" si="1"/>
        <v>335055</v>
      </c>
      <c r="G35" s="198">
        <f>D35+D36</f>
        <v>787785</v>
      </c>
      <c r="H35" s="198">
        <f>E35+E36</f>
        <v>401433</v>
      </c>
      <c r="I35" s="200">
        <f>G35-H35</f>
        <v>386352</v>
      </c>
      <c r="J35"/>
      <c r="K35"/>
      <c r="L35"/>
      <c r="M35"/>
      <c r="N35"/>
    </row>
    <row r="36" spans="1:16" s="1" customFormat="1" ht="15" thickBot="1" x14ac:dyDescent="0.35">
      <c r="A36" s="194"/>
      <c r="B36" s="197"/>
      <c r="C36" s="61" t="s">
        <v>9</v>
      </c>
      <c r="D36" s="22">
        <v>328474</v>
      </c>
      <c r="E36" s="2">
        <f>277177</f>
        <v>277177</v>
      </c>
      <c r="F36" s="2">
        <f t="shared" si="1"/>
        <v>51297</v>
      </c>
      <c r="G36" s="198"/>
      <c r="H36" s="198"/>
      <c r="I36" s="200"/>
      <c r="J36"/>
      <c r="K36"/>
      <c r="L36"/>
      <c r="M36"/>
      <c r="N36"/>
    </row>
    <row r="37" spans="1:16" x14ac:dyDescent="0.3">
      <c r="A37" s="194" t="s">
        <v>16</v>
      </c>
      <c r="B37" s="196">
        <v>45709</v>
      </c>
      <c r="C37" s="61" t="s">
        <v>8</v>
      </c>
      <c r="D37" s="22">
        <v>515309</v>
      </c>
      <c r="E37" s="2">
        <f>53448+78800+86870+33600+9000+36860+9000</f>
        <v>307578</v>
      </c>
      <c r="F37" s="2">
        <f t="shared" si="1"/>
        <v>207731</v>
      </c>
      <c r="G37" s="198">
        <f>D37+D38</f>
        <v>878709</v>
      </c>
      <c r="H37" s="198">
        <f>E37+E38</f>
        <v>515551</v>
      </c>
      <c r="I37" s="200">
        <f>G37-H37</f>
        <v>363158</v>
      </c>
    </row>
    <row r="38" spans="1:16" ht="15" thickBot="1" x14ac:dyDescent="0.35">
      <c r="A38" s="222"/>
      <c r="B38" s="197"/>
      <c r="C38" s="62" t="s">
        <v>9</v>
      </c>
      <c r="D38" s="27">
        <v>363400</v>
      </c>
      <c r="E38" s="10">
        <f>167973+40000</f>
        <v>207973</v>
      </c>
      <c r="F38" s="10">
        <f t="shared" si="1"/>
        <v>155427</v>
      </c>
      <c r="G38" s="223"/>
      <c r="H38" s="223"/>
      <c r="I38" s="225"/>
    </row>
    <row r="39" spans="1:16" x14ac:dyDescent="0.3">
      <c r="A39" s="213" t="s">
        <v>13</v>
      </c>
      <c r="B39" s="252">
        <v>45710</v>
      </c>
      <c r="C39" s="63" t="s">
        <v>8</v>
      </c>
      <c r="D39" s="54">
        <v>202897</v>
      </c>
      <c r="E39" s="48">
        <f>11000+19800</f>
        <v>30800</v>
      </c>
      <c r="F39" s="48">
        <f t="shared" si="1"/>
        <v>172097</v>
      </c>
      <c r="G39" s="217">
        <f>D39+D40</f>
        <v>367407</v>
      </c>
      <c r="H39" s="217">
        <f>E39+E40</f>
        <v>53690</v>
      </c>
      <c r="I39" s="217">
        <f>G39-H39</f>
        <v>313717</v>
      </c>
      <c r="J39" s="40"/>
      <c r="M39" s="13" t="s">
        <v>2</v>
      </c>
      <c r="N39" s="12">
        <v>1</v>
      </c>
    </row>
    <row r="40" spans="1:16" ht="15" thickBot="1" x14ac:dyDescent="0.35">
      <c r="A40" s="214"/>
      <c r="B40" s="279"/>
      <c r="C40" s="64" t="s">
        <v>35</v>
      </c>
      <c r="D40" s="55">
        <v>164510</v>
      </c>
      <c r="E40" s="49">
        <f>22890</f>
        <v>22890</v>
      </c>
      <c r="F40" s="49">
        <f t="shared" si="1"/>
        <v>141620</v>
      </c>
      <c r="G40" s="218"/>
      <c r="H40" s="218"/>
      <c r="I40" s="218"/>
      <c r="J40" t="s">
        <v>43</v>
      </c>
      <c r="M40" s="14" t="s">
        <v>11</v>
      </c>
      <c r="N40" s="17">
        <f>H51*100/G51/100</f>
        <v>0.63693250823493186</v>
      </c>
    </row>
    <row r="41" spans="1:16" s="1" customFormat="1" ht="14.25" customHeight="1" x14ac:dyDescent="0.3">
      <c r="A41" s="219" t="s">
        <v>17</v>
      </c>
      <c r="B41" s="196">
        <v>45712</v>
      </c>
      <c r="C41" s="60" t="s">
        <v>8</v>
      </c>
      <c r="D41" s="23">
        <v>318796</v>
      </c>
      <c r="E41" s="3">
        <f>12000+68440+119000</f>
        <v>199440</v>
      </c>
      <c r="F41" s="3">
        <f t="shared" si="1"/>
        <v>119356</v>
      </c>
      <c r="G41" s="220">
        <f>D41+D42</f>
        <v>630996</v>
      </c>
      <c r="H41" s="220">
        <f>E41+E42</f>
        <v>451235</v>
      </c>
      <c r="I41" s="221">
        <f>G41-H41</f>
        <v>179761</v>
      </c>
      <c r="J41"/>
      <c r="K41"/>
      <c r="L41"/>
      <c r="M41" s="15" t="s">
        <v>3</v>
      </c>
      <c r="N41" s="16">
        <f>(100%-N40)</f>
        <v>0.36306749176506814</v>
      </c>
    </row>
    <row r="42" spans="1:16" s="1" customFormat="1" ht="15" thickBot="1" x14ac:dyDescent="0.35">
      <c r="A42" s="194"/>
      <c r="B42" s="197"/>
      <c r="C42" s="61" t="s">
        <v>9</v>
      </c>
      <c r="D42" s="22">
        <v>312200</v>
      </c>
      <c r="E42" s="2">
        <f>251795</f>
        <v>251795</v>
      </c>
      <c r="F42" s="2">
        <f t="shared" si="1"/>
        <v>60405</v>
      </c>
      <c r="G42" s="198"/>
      <c r="H42" s="198"/>
      <c r="I42" s="200"/>
      <c r="J42"/>
      <c r="K42"/>
      <c r="L42"/>
      <c r="M42"/>
      <c r="N42"/>
      <c r="O42"/>
      <c r="P42"/>
    </row>
    <row r="43" spans="1:16" s="1" customFormat="1" x14ac:dyDescent="0.3">
      <c r="A43" s="194" t="s">
        <v>18</v>
      </c>
      <c r="B43" s="196">
        <v>45713</v>
      </c>
      <c r="C43" s="61" t="s">
        <v>8</v>
      </c>
      <c r="D43" s="22">
        <v>400750</v>
      </c>
      <c r="E43" s="2">
        <f>108600+26400+17400+44800+9600+15000</f>
        <v>221800</v>
      </c>
      <c r="F43" s="2">
        <f t="shared" si="1"/>
        <v>178950</v>
      </c>
      <c r="G43" s="198">
        <f>D43+D44</f>
        <v>849950</v>
      </c>
      <c r="H43" s="198">
        <f>E43+E44</f>
        <v>448334</v>
      </c>
      <c r="I43" s="200">
        <f>G43-H43</f>
        <v>401616</v>
      </c>
      <c r="J43"/>
      <c r="K43"/>
      <c r="L43"/>
      <c r="M43"/>
      <c r="N43"/>
      <c r="O43"/>
      <c r="P43"/>
    </row>
    <row r="44" spans="1:16" s="1" customFormat="1" ht="15" thickBot="1" x14ac:dyDescent="0.35">
      <c r="A44" s="194"/>
      <c r="B44" s="197"/>
      <c r="C44" s="61" t="s">
        <v>9</v>
      </c>
      <c r="D44" s="22">
        <v>449200</v>
      </c>
      <c r="E44" s="2">
        <f>226534</f>
        <v>226534</v>
      </c>
      <c r="F44" s="2">
        <f t="shared" si="1"/>
        <v>222666</v>
      </c>
      <c r="G44" s="198"/>
      <c r="H44" s="198"/>
      <c r="I44" s="200"/>
      <c r="J44"/>
      <c r="K44"/>
      <c r="L44"/>
      <c r="M44"/>
      <c r="N44"/>
      <c r="O44"/>
      <c r="P44"/>
    </row>
    <row r="45" spans="1:16" s="1" customFormat="1" ht="14.25" customHeight="1" x14ac:dyDescent="0.3">
      <c r="A45" s="194" t="s">
        <v>19</v>
      </c>
      <c r="B45" s="196">
        <v>45714</v>
      </c>
      <c r="C45" s="66" t="s">
        <v>8</v>
      </c>
      <c r="D45" s="44">
        <v>407908</v>
      </c>
      <c r="E45" s="45">
        <f>17400+127000+53448+7000+49050+9000+7000</f>
        <v>269898</v>
      </c>
      <c r="F45" s="45">
        <f t="shared" si="1"/>
        <v>138010</v>
      </c>
      <c r="G45" s="211">
        <f>D45+D46</f>
        <v>792108</v>
      </c>
      <c r="H45" s="211">
        <f>E45+E46</f>
        <v>556769</v>
      </c>
      <c r="I45" s="212">
        <f>G45-H45</f>
        <v>235339</v>
      </c>
      <c r="J45" s="210"/>
      <c r="K45"/>
      <c r="L45"/>
      <c r="M45"/>
      <c r="N45"/>
      <c r="O45"/>
      <c r="P45"/>
    </row>
    <row r="46" spans="1:16" s="1" customFormat="1" ht="15" thickBot="1" x14ac:dyDescent="0.35">
      <c r="A46" s="194"/>
      <c r="B46" s="197"/>
      <c r="C46" s="66" t="s">
        <v>9</v>
      </c>
      <c r="D46" s="44">
        <v>384200</v>
      </c>
      <c r="E46" s="45">
        <f>286871</f>
        <v>286871</v>
      </c>
      <c r="F46" s="45">
        <f t="shared" si="1"/>
        <v>97329</v>
      </c>
      <c r="G46" s="211"/>
      <c r="H46" s="211"/>
      <c r="I46" s="212"/>
      <c r="J46" s="210"/>
      <c r="K46"/>
      <c r="L46"/>
      <c r="M46"/>
      <c r="N46"/>
      <c r="O46"/>
      <c r="P46"/>
    </row>
    <row r="47" spans="1:16" s="1" customFormat="1" x14ac:dyDescent="0.3">
      <c r="A47" s="194" t="s">
        <v>15</v>
      </c>
      <c r="B47" s="196">
        <v>45715</v>
      </c>
      <c r="C47" s="61" t="s">
        <v>8</v>
      </c>
      <c r="D47" s="22">
        <v>566958</v>
      </c>
      <c r="E47" s="2">
        <f>13300+144600+62211+32000</f>
        <v>252111</v>
      </c>
      <c r="F47" s="2">
        <f t="shared" si="1"/>
        <v>314847</v>
      </c>
      <c r="G47" s="198">
        <f>D47+D48</f>
        <v>1158916</v>
      </c>
      <c r="H47" s="198">
        <f>E47+E48</f>
        <v>499711</v>
      </c>
      <c r="I47" s="200">
        <f>G47-H47</f>
        <v>659205</v>
      </c>
      <c r="J47"/>
      <c r="K47"/>
      <c r="L47"/>
      <c r="M47"/>
      <c r="N47"/>
      <c r="O47"/>
      <c r="P47"/>
    </row>
    <row r="48" spans="1:16" s="1" customFormat="1" ht="15" thickBot="1" x14ac:dyDescent="0.35">
      <c r="A48" s="194"/>
      <c r="B48" s="197"/>
      <c r="C48" s="61" t="s">
        <v>9</v>
      </c>
      <c r="D48" s="22">
        <v>591958</v>
      </c>
      <c r="E48" s="2">
        <f>102600+145000</f>
        <v>247600</v>
      </c>
      <c r="F48" s="2">
        <f t="shared" si="1"/>
        <v>344358</v>
      </c>
      <c r="G48" s="198"/>
      <c r="H48" s="198"/>
      <c r="I48" s="200"/>
      <c r="J48"/>
      <c r="K48"/>
      <c r="L48"/>
      <c r="M48"/>
      <c r="N48"/>
      <c r="O48"/>
      <c r="P48"/>
    </row>
    <row r="49" spans="1:17" x14ac:dyDescent="0.3">
      <c r="A49" s="194" t="s">
        <v>16</v>
      </c>
      <c r="B49" s="196">
        <v>45716</v>
      </c>
      <c r="C49" s="61" t="s">
        <v>8</v>
      </c>
      <c r="D49" s="22">
        <v>567258</v>
      </c>
      <c r="E49" s="2">
        <f>12300+31500+9000+15000+67144+68450+15000+7600+47000+19000</f>
        <v>291994</v>
      </c>
      <c r="F49" s="2">
        <f t="shared" si="1"/>
        <v>275264</v>
      </c>
      <c r="G49" s="198">
        <f>D49+D50</f>
        <v>1152032</v>
      </c>
      <c r="H49" s="198">
        <f>E49+E50</f>
        <v>712207</v>
      </c>
      <c r="I49" s="200">
        <f>G49-H49</f>
        <v>439825</v>
      </c>
    </row>
    <row r="50" spans="1:17" ht="15" thickBot="1" x14ac:dyDescent="0.35">
      <c r="A50" s="222"/>
      <c r="B50" s="197"/>
      <c r="C50" s="62" t="s">
        <v>9</v>
      </c>
      <c r="D50" s="27">
        <v>584774</v>
      </c>
      <c r="E50" s="10">
        <f>420213</f>
        <v>420213</v>
      </c>
      <c r="F50" s="10">
        <f t="shared" si="1"/>
        <v>164561</v>
      </c>
      <c r="G50" s="223"/>
      <c r="H50" s="223"/>
      <c r="I50" s="225"/>
    </row>
    <row r="51" spans="1:17" s="1" customFormat="1" ht="15" thickBot="1" x14ac:dyDescent="0.35">
      <c r="A51"/>
      <c r="B51" s="277" t="s">
        <v>10</v>
      </c>
      <c r="C51" s="278"/>
      <c r="D51" s="50">
        <f t="shared" ref="D51:I51" si="2">SUM(D3:D50)</f>
        <v>16394489</v>
      </c>
      <c r="E51" s="50">
        <f t="shared" si="2"/>
        <v>10442183</v>
      </c>
      <c r="F51" s="50">
        <f t="shared" si="2"/>
        <v>5952306</v>
      </c>
      <c r="G51" s="50">
        <f>SUM(G3:G50)</f>
        <v>16394489</v>
      </c>
      <c r="H51" s="50">
        <f t="shared" si="2"/>
        <v>10442183</v>
      </c>
      <c r="I51" s="51">
        <f t="shared" si="2"/>
        <v>5952306</v>
      </c>
      <c r="J51"/>
      <c r="K51" s="39"/>
      <c r="L51"/>
      <c r="M51"/>
      <c r="N51"/>
    </row>
    <row r="52" spans="1:17" s="1" customFormat="1" x14ac:dyDescent="0.3">
      <c r="A52"/>
      <c r="J52"/>
      <c r="K52" s="39"/>
      <c r="L52"/>
      <c r="M52"/>
      <c r="N52"/>
    </row>
    <row r="53" spans="1:17" s="1" customFormat="1" x14ac:dyDescent="0.3">
      <c r="A53"/>
      <c r="J53"/>
      <c r="K53" s="39"/>
      <c r="L53"/>
      <c r="M53"/>
      <c r="N53"/>
    </row>
    <row r="54" spans="1:17" s="1" customFormat="1" x14ac:dyDescent="0.3">
      <c r="A54"/>
      <c r="J54"/>
      <c r="K54" s="39"/>
      <c r="L54"/>
      <c r="M54"/>
      <c r="N54"/>
    </row>
    <row r="55" spans="1:17" s="1" customFormat="1" x14ac:dyDescent="0.3">
      <c r="A55"/>
      <c r="J55"/>
      <c r="K55" s="39"/>
      <c r="L55"/>
      <c r="M55"/>
      <c r="N55"/>
    </row>
    <row r="56" spans="1:17" x14ac:dyDescent="0.3">
      <c r="K56" s="39"/>
    </row>
    <row r="57" spans="1:17" x14ac:dyDescent="0.3">
      <c r="D57" s="20" t="s">
        <v>21</v>
      </c>
      <c r="E57" s="2">
        <f>MAXA(G3:G36)</f>
        <v>821597</v>
      </c>
      <c r="F57" s="187"/>
      <c r="G57" s="187"/>
      <c r="K57" s="39"/>
    </row>
    <row r="58" spans="1:17" x14ac:dyDescent="0.3">
      <c r="D58" s="21" t="s">
        <v>22</v>
      </c>
      <c r="E58" s="2">
        <f>IF(MINA(D3:D44)&lt;&gt;0, MINA(D3:D44))</f>
        <v>69000</v>
      </c>
      <c r="F58" s="187"/>
      <c r="G58" s="187"/>
      <c r="K58" s="39"/>
    </row>
    <row r="59" spans="1:17" s="1" customFormat="1" x14ac:dyDescent="0.3">
      <c r="A59"/>
      <c r="C59" s="1" t="s">
        <v>20</v>
      </c>
      <c r="J59"/>
      <c r="K59"/>
      <c r="L59"/>
      <c r="M59"/>
      <c r="N59"/>
    </row>
    <row r="60" spans="1:17" x14ac:dyDescent="0.3">
      <c r="D60" s="192" t="s">
        <v>36</v>
      </c>
      <c r="E60" s="18">
        <f>AVERAGEA(G3:G4)</f>
        <v>318646</v>
      </c>
      <c r="F60" s="187" t="s">
        <v>23</v>
      </c>
      <c r="G60" s="187"/>
      <c r="I60" s="193" t="s">
        <v>37</v>
      </c>
      <c r="J60" s="18">
        <f>AVERAGEA(H3:H3)</f>
        <v>688525</v>
      </c>
      <c r="K60" s="187" t="s">
        <v>23</v>
      </c>
      <c r="L60" s="187"/>
      <c r="N60" s="188" t="s">
        <v>38</v>
      </c>
      <c r="O60" s="18">
        <f>AVERAGEA(I3:I4)</f>
        <v>-369879</v>
      </c>
      <c r="P60" s="187" t="s">
        <v>23</v>
      </c>
      <c r="Q60" s="187"/>
    </row>
    <row r="61" spans="1:17" x14ac:dyDescent="0.3">
      <c r="D61" s="192"/>
      <c r="E61" s="18">
        <f>AVERAGEA(G5:G16)</f>
        <v>497642.5</v>
      </c>
      <c r="F61" s="187" t="s">
        <v>24</v>
      </c>
      <c r="G61" s="187"/>
      <c r="I61" s="193"/>
      <c r="J61" s="18">
        <f>AVERAGEA(H5:H16)</f>
        <v>247621.33333333334</v>
      </c>
      <c r="K61" s="187" t="s">
        <v>24</v>
      </c>
      <c r="L61" s="187"/>
      <c r="N61" s="188"/>
      <c r="O61" s="18">
        <f>AVERAGEA(I5:I16)</f>
        <v>250021.16666666666</v>
      </c>
      <c r="P61" s="187" t="s">
        <v>24</v>
      </c>
      <c r="Q61" s="187"/>
    </row>
    <row r="62" spans="1:17" x14ac:dyDescent="0.3">
      <c r="D62" s="192"/>
      <c r="E62" s="18">
        <f>AVERAGEA(G17:G28)</f>
        <v>698103.16666666663</v>
      </c>
      <c r="F62" s="187" t="s">
        <v>25</v>
      </c>
      <c r="G62" s="187"/>
      <c r="I62" s="193"/>
      <c r="J62" s="18">
        <f>AVERAGEA(H17:H28)</f>
        <v>553775.33333333337</v>
      </c>
      <c r="K62" s="187" t="s">
        <v>25</v>
      </c>
      <c r="L62" s="187"/>
      <c r="N62" s="188"/>
      <c r="O62" s="18">
        <f>AVERAGEA(I17:I28)</f>
        <v>144327.83333333334</v>
      </c>
      <c r="P62" s="187" t="s">
        <v>25</v>
      </c>
      <c r="Q62" s="187"/>
    </row>
    <row r="63" spans="1:17" x14ac:dyDescent="0.3">
      <c r="D63" s="192"/>
      <c r="E63" s="18">
        <f>AVERAGEA(G29:G40)</f>
        <v>719561.16666666663</v>
      </c>
      <c r="F63" s="184" t="s">
        <v>26</v>
      </c>
      <c r="G63" s="185"/>
      <c r="I63" s="193"/>
      <c r="J63" s="18">
        <f>AVERAGEA(H29:H40)</f>
        <v>379503.66666666669</v>
      </c>
      <c r="K63" s="184" t="s">
        <v>26</v>
      </c>
      <c r="L63" s="185"/>
      <c r="N63" s="188"/>
      <c r="O63" s="18">
        <f>AVERAGEA(I29:I40)</f>
        <v>340057.5</v>
      </c>
      <c r="P63" s="184" t="s">
        <v>26</v>
      </c>
      <c r="Q63" s="185"/>
    </row>
    <row r="64" spans="1:17" x14ac:dyDescent="0.3">
      <c r="D64" s="192"/>
      <c r="E64" s="18">
        <f>AVERAGEA(G41:G44)</f>
        <v>740473</v>
      </c>
      <c r="F64" s="184" t="s">
        <v>34</v>
      </c>
      <c r="G64" s="185"/>
      <c r="I64" s="193"/>
      <c r="J64" s="18">
        <f>AVERAGEA(H41:H44)</f>
        <v>449784.5</v>
      </c>
      <c r="K64" s="184" t="s">
        <v>34</v>
      </c>
      <c r="L64" s="185"/>
      <c r="N64" s="188"/>
      <c r="O64" s="18">
        <f>AVERAGEA(I41:I50)</f>
        <v>383149.2</v>
      </c>
      <c r="P64" s="184" t="s">
        <v>34</v>
      </c>
      <c r="Q64" s="185"/>
    </row>
    <row r="65" spans="1:17" x14ac:dyDescent="0.3">
      <c r="D65" s="192"/>
      <c r="E65" s="28">
        <f>AVERAGEA(E60:E63)</f>
        <v>558488.20833333326</v>
      </c>
      <c r="F65" s="186" t="s">
        <v>10</v>
      </c>
      <c r="G65" s="186"/>
      <c r="I65" s="193"/>
      <c r="J65" s="28">
        <f>AVERAGEA(J60:J63)</f>
        <v>467356.33333333337</v>
      </c>
      <c r="K65" s="186" t="s">
        <v>10</v>
      </c>
      <c r="L65" s="186"/>
      <c r="N65" s="189"/>
      <c r="O65" s="28">
        <f>AVERAGEA(O60:O63)</f>
        <v>91131.875</v>
      </c>
      <c r="P65" s="186" t="s">
        <v>10</v>
      </c>
      <c r="Q65" s="186"/>
    </row>
    <row r="67" spans="1:17" x14ac:dyDescent="0.3">
      <c r="D67"/>
      <c r="E67"/>
      <c r="F67"/>
      <c r="G67"/>
      <c r="H67"/>
      <c r="I67"/>
    </row>
    <row r="68" spans="1:17" s="1" customFormat="1" x14ac:dyDescent="0.3">
      <c r="A68"/>
      <c r="D68"/>
      <c r="E68"/>
      <c r="F68"/>
      <c r="G68"/>
      <c r="H68"/>
      <c r="I68"/>
      <c r="J68"/>
      <c r="K68"/>
      <c r="L68"/>
      <c r="M68"/>
      <c r="N68"/>
    </row>
    <row r="69" spans="1:17" x14ac:dyDescent="0.3">
      <c r="D69"/>
      <c r="E69"/>
      <c r="F69"/>
      <c r="G69"/>
      <c r="H69"/>
      <c r="I69"/>
    </row>
    <row r="70" spans="1:17" ht="27" customHeight="1" x14ac:dyDescent="0.3">
      <c r="D70"/>
      <c r="E70"/>
      <c r="F70"/>
      <c r="G70"/>
      <c r="H70"/>
      <c r="I70"/>
    </row>
    <row r="71" spans="1:17" x14ac:dyDescent="0.3">
      <c r="D71"/>
      <c r="E71"/>
      <c r="F71"/>
      <c r="G71"/>
      <c r="H71"/>
      <c r="I71"/>
    </row>
    <row r="72" spans="1:17" x14ac:dyDescent="0.3">
      <c r="D72"/>
      <c r="E72"/>
      <c r="F72"/>
      <c r="G72"/>
      <c r="H72"/>
      <c r="I72"/>
    </row>
    <row r="73" spans="1:17" x14ac:dyDescent="0.3">
      <c r="D73"/>
      <c r="E73"/>
      <c r="F73"/>
      <c r="G73"/>
      <c r="H73"/>
      <c r="I73"/>
    </row>
    <row r="74" spans="1:17" x14ac:dyDescent="0.3">
      <c r="D74"/>
      <c r="E74"/>
      <c r="F74"/>
      <c r="G74"/>
      <c r="H74"/>
      <c r="I74"/>
    </row>
    <row r="75" spans="1:17" x14ac:dyDescent="0.3">
      <c r="D75"/>
      <c r="E75"/>
      <c r="F75"/>
      <c r="G75"/>
      <c r="H75"/>
      <c r="I75"/>
    </row>
    <row r="76" spans="1:17" x14ac:dyDescent="0.3">
      <c r="D76"/>
      <c r="E76"/>
      <c r="F76"/>
      <c r="G76"/>
      <c r="H76"/>
      <c r="I76"/>
    </row>
    <row r="77" spans="1:17" x14ac:dyDescent="0.3">
      <c r="D77"/>
      <c r="E77"/>
      <c r="F77"/>
      <c r="G77"/>
      <c r="H77"/>
      <c r="I77"/>
    </row>
  </sheetData>
  <autoFilter ref="B2:I51" xr:uid="{00000000-0009-0000-0000-000001000000}"/>
  <mergeCells count="152">
    <mergeCell ref="A3:A4"/>
    <mergeCell ref="B3:B4"/>
    <mergeCell ref="G3:G4"/>
    <mergeCell ref="H3:H4"/>
    <mergeCell ref="I3:I4"/>
    <mergeCell ref="A1:A2"/>
    <mergeCell ref="B1:B2"/>
    <mergeCell ref="C1:C2"/>
    <mergeCell ref="D1:F1"/>
    <mergeCell ref="G1:I1"/>
    <mergeCell ref="A5:A6"/>
    <mergeCell ref="B5:B6"/>
    <mergeCell ref="G5:G6"/>
    <mergeCell ref="H5:H6"/>
    <mergeCell ref="I5:I6"/>
    <mergeCell ref="A7:A8"/>
    <mergeCell ref="B7:B8"/>
    <mergeCell ref="G7:G8"/>
    <mergeCell ref="H7:H8"/>
    <mergeCell ref="I7:I8"/>
    <mergeCell ref="A13:A14"/>
    <mergeCell ref="B13:B14"/>
    <mergeCell ref="G13:G14"/>
    <mergeCell ref="H13:H14"/>
    <mergeCell ref="I13:I14"/>
    <mergeCell ref="J17:J18"/>
    <mergeCell ref="A9:A10"/>
    <mergeCell ref="B9:B10"/>
    <mergeCell ref="G9:G10"/>
    <mergeCell ref="H9:H10"/>
    <mergeCell ref="I9:I10"/>
    <mergeCell ref="A11:A12"/>
    <mergeCell ref="B11:B12"/>
    <mergeCell ref="G11:G12"/>
    <mergeCell ref="H11:H12"/>
    <mergeCell ref="I11:I12"/>
    <mergeCell ref="A15:A16"/>
    <mergeCell ref="B15:B16"/>
    <mergeCell ref="G15:G16"/>
    <mergeCell ref="H15:H16"/>
    <mergeCell ref="I15:I16"/>
    <mergeCell ref="A17:A18"/>
    <mergeCell ref="B17:B18"/>
    <mergeCell ref="G17:G18"/>
    <mergeCell ref="H17:H18"/>
    <mergeCell ref="I17:I18"/>
    <mergeCell ref="A19:A20"/>
    <mergeCell ref="B19:B20"/>
    <mergeCell ref="G19:G20"/>
    <mergeCell ref="H19:H20"/>
    <mergeCell ref="I19:I20"/>
    <mergeCell ref="A21:A22"/>
    <mergeCell ref="B21:B22"/>
    <mergeCell ref="G21:G22"/>
    <mergeCell ref="H21:H22"/>
    <mergeCell ref="I21:I22"/>
    <mergeCell ref="A23:A24"/>
    <mergeCell ref="B23:B24"/>
    <mergeCell ref="G23:G24"/>
    <mergeCell ref="H23:H24"/>
    <mergeCell ref="I23:I24"/>
    <mergeCell ref="A25:A26"/>
    <mergeCell ref="B25:B26"/>
    <mergeCell ref="G25:G26"/>
    <mergeCell ref="H25:H26"/>
    <mergeCell ref="I25:I26"/>
    <mergeCell ref="A27:A28"/>
    <mergeCell ref="B27:B28"/>
    <mergeCell ref="G27:G28"/>
    <mergeCell ref="H27:H28"/>
    <mergeCell ref="I27:I28"/>
    <mergeCell ref="A29:A30"/>
    <mergeCell ref="B29:B30"/>
    <mergeCell ref="G29:G30"/>
    <mergeCell ref="H29:H30"/>
    <mergeCell ref="I29:I30"/>
    <mergeCell ref="J33:J34"/>
    <mergeCell ref="A35:A36"/>
    <mergeCell ref="B35:B36"/>
    <mergeCell ref="G35:G36"/>
    <mergeCell ref="H35:H36"/>
    <mergeCell ref="I35:I36"/>
    <mergeCell ref="A31:A32"/>
    <mergeCell ref="B31:B32"/>
    <mergeCell ref="G31:G32"/>
    <mergeCell ref="H31:H32"/>
    <mergeCell ref="I31:I32"/>
    <mergeCell ref="A33:A34"/>
    <mergeCell ref="B33:B34"/>
    <mergeCell ref="G33:G34"/>
    <mergeCell ref="H33:H34"/>
    <mergeCell ref="I33:I34"/>
    <mergeCell ref="A37:A38"/>
    <mergeCell ref="B37:B38"/>
    <mergeCell ref="G37:G38"/>
    <mergeCell ref="H37:H38"/>
    <mergeCell ref="I37:I38"/>
    <mergeCell ref="A39:A40"/>
    <mergeCell ref="B39:B40"/>
    <mergeCell ref="G39:G40"/>
    <mergeCell ref="H39:H40"/>
    <mergeCell ref="I39:I40"/>
    <mergeCell ref="A45:A46"/>
    <mergeCell ref="B45:B46"/>
    <mergeCell ref="G45:G46"/>
    <mergeCell ref="H45:H46"/>
    <mergeCell ref="I45:I46"/>
    <mergeCell ref="J45:J46"/>
    <mergeCell ref="A41:A42"/>
    <mergeCell ref="B41:B42"/>
    <mergeCell ref="G41:G42"/>
    <mergeCell ref="H41:H42"/>
    <mergeCell ref="I41:I42"/>
    <mergeCell ref="A43:A44"/>
    <mergeCell ref="B43:B44"/>
    <mergeCell ref="G43:G44"/>
    <mergeCell ref="H43:H44"/>
    <mergeCell ref="I43:I44"/>
    <mergeCell ref="B51:C51"/>
    <mergeCell ref="F57:G57"/>
    <mergeCell ref="F58:G58"/>
    <mergeCell ref="D60:D65"/>
    <mergeCell ref="F60:G60"/>
    <mergeCell ref="I60:I65"/>
    <mergeCell ref="A47:A48"/>
    <mergeCell ref="B47:B48"/>
    <mergeCell ref="G47:G48"/>
    <mergeCell ref="H47:H48"/>
    <mergeCell ref="I47:I48"/>
    <mergeCell ref="A49:A50"/>
    <mergeCell ref="B49:B50"/>
    <mergeCell ref="G49:G50"/>
    <mergeCell ref="H49:H50"/>
    <mergeCell ref="I49:I50"/>
    <mergeCell ref="K63:L63"/>
    <mergeCell ref="P63:Q63"/>
    <mergeCell ref="F64:G64"/>
    <mergeCell ref="K64:L64"/>
    <mergeCell ref="P64:Q64"/>
    <mergeCell ref="F65:G65"/>
    <mergeCell ref="K65:L65"/>
    <mergeCell ref="P65:Q65"/>
    <mergeCell ref="K60:L60"/>
    <mergeCell ref="N60:N65"/>
    <mergeCell ref="P60:Q60"/>
    <mergeCell ref="F61:G61"/>
    <mergeCell ref="K61:L61"/>
    <mergeCell ref="P61:Q61"/>
    <mergeCell ref="F62:G62"/>
    <mergeCell ref="K62:L62"/>
    <mergeCell ref="P62:Q62"/>
    <mergeCell ref="F63:G63"/>
  </mergeCell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A802B-8FC1-47D4-B3FF-571FE1DDE806}">
  <sheetPr>
    <tabColor theme="2" tint="-9.9978637043366805E-2"/>
  </sheetPr>
  <dimension ref="A1:T74"/>
  <sheetViews>
    <sheetView showGridLines="0" zoomScale="85" zoomScaleNormal="85" workbookViewId="0">
      <pane xSplit="3" ySplit="2" topLeftCell="D35" activePane="bottomRight" state="frozen"/>
      <selection activeCell="S39" sqref="S39"/>
      <selection pane="topRight" activeCell="S39" sqref="S39"/>
      <selection pane="bottomLeft" activeCell="S39" sqref="S39"/>
      <selection pane="bottomRight" activeCell="S39" sqref="S39"/>
    </sheetView>
  </sheetViews>
  <sheetFormatPr baseColWidth="10" defaultRowHeight="14.4" x14ac:dyDescent="0.3"/>
  <cols>
    <col min="1" max="1" width="8.88671875" customWidth="1"/>
    <col min="2" max="2" width="10.88671875" style="1" customWidth="1"/>
    <col min="3" max="3" width="8.88671875" style="1" customWidth="1"/>
    <col min="4" max="4" width="13.33203125" style="1" customWidth="1"/>
    <col min="5" max="5" width="11.88671875" style="1" customWidth="1"/>
    <col min="6" max="6" width="11.33203125" style="1" customWidth="1"/>
    <col min="7" max="7" width="11.44140625" style="1" customWidth="1"/>
    <col min="8" max="8" width="13.44140625" style="1" customWidth="1"/>
    <col min="9" max="9" width="10.6640625" style="1" customWidth="1"/>
    <col min="10" max="10" width="12" bestFit="1" customWidth="1"/>
    <col min="11" max="11" width="12.33203125" bestFit="1" customWidth="1"/>
  </cols>
  <sheetData>
    <row r="1" spans="1:10" x14ac:dyDescent="0.3">
      <c r="A1" s="241" t="s">
        <v>12</v>
      </c>
      <c r="B1" s="241" t="s">
        <v>0</v>
      </c>
      <c r="C1" s="241" t="s">
        <v>1</v>
      </c>
      <c r="D1" s="243" t="s">
        <v>7</v>
      </c>
      <c r="E1" s="244"/>
      <c r="F1" s="244"/>
      <c r="G1" s="245" t="s">
        <v>10</v>
      </c>
      <c r="H1" s="246"/>
      <c r="I1" s="247"/>
    </row>
    <row r="2" spans="1:10" ht="15" thickBot="1" x14ac:dyDescent="0.35">
      <c r="A2" s="242"/>
      <c r="B2" s="242"/>
      <c r="C2" s="242"/>
      <c r="D2" s="4" t="s">
        <v>4</v>
      </c>
      <c r="E2" s="5" t="s">
        <v>5</v>
      </c>
      <c r="F2" s="7" t="s">
        <v>6</v>
      </c>
      <c r="G2" s="8" t="s">
        <v>2</v>
      </c>
      <c r="H2" s="5" t="s">
        <v>11</v>
      </c>
      <c r="I2" s="9" t="s">
        <v>3</v>
      </c>
    </row>
    <row r="3" spans="1:10" x14ac:dyDescent="0.3">
      <c r="A3" s="202" t="s">
        <v>13</v>
      </c>
      <c r="B3" s="204">
        <v>45717</v>
      </c>
      <c r="C3" s="77" t="s">
        <v>8</v>
      </c>
      <c r="D3" s="35">
        <v>237384</v>
      </c>
      <c r="E3" s="36">
        <f>11850+46350</f>
        <v>58200</v>
      </c>
      <c r="F3" s="36">
        <f t="shared" ref="F3:F10" si="0">D3-E3</f>
        <v>179184</v>
      </c>
      <c r="G3" s="206">
        <f>D3+D4</f>
        <v>509407</v>
      </c>
      <c r="H3" s="206">
        <f>E3+E4</f>
        <v>675705</v>
      </c>
      <c r="I3" s="208">
        <f>G3-H3</f>
        <v>-166298</v>
      </c>
    </row>
    <row r="4" spans="1:10" ht="15" thickBot="1" x14ac:dyDescent="0.35">
      <c r="A4" s="203"/>
      <c r="B4" s="205"/>
      <c r="C4" s="80" t="s">
        <v>9</v>
      </c>
      <c r="D4" s="37">
        <v>272023</v>
      </c>
      <c r="E4" s="38">
        <v>617505</v>
      </c>
      <c r="F4" s="38">
        <f t="shared" si="0"/>
        <v>-345482</v>
      </c>
      <c r="G4" s="207"/>
      <c r="H4" s="207"/>
      <c r="I4" s="209"/>
    </row>
    <row r="5" spans="1:10" x14ac:dyDescent="0.3">
      <c r="A5" s="226" t="s">
        <v>19</v>
      </c>
      <c r="B5" s="227">
        <v>45721</v>
      </c>
      <c r="C5" s="76" t="s">
        <v>8</v>
      </c>
      <c r="D5" s="30">
        <v>341720</v>
      </c>
      <c r="E5" s="11">
        <f>45600+15150+17414+50081+26400+13000+117000+18000</f>
        <v>302645</v>
      </c>
      <c r="F5" s="11">
        <f t="shared" si="0"/>
        <v>39075</v>
      </c>
      <c r="G5" s="224">
        <f>D5+D6</f>
        <v>627372</v>
      </c>
      <c r="H5" s="224">
        <f>E5+E6</f>
        <v>565143</v>
      </c>
      <c r="I5" s="228">
        <f>G5-H5</f>
        <v>62229</v>
      </c>
    </row>
    <row r="6" spans="1:10" ht="15" thickBot="1" x14ac:dyDescent="0.35">
      <c r="A6" s="194"/>
      <c r="B6" s="197"/>
      <c r="C6" s="61" t="s">
        <v>9</v>
      </c>
      <c r="D6" s="22">
        <v>285652</v>
      </c>
      <c r="E6" s="2">
        <f>262498</f>
        <v>262498</v>
      </c>
      <c r="F6" s="2">
        <f t="shared" si="0"/>
        <v>23154</v>
      </c>
      <c r="G6" s="198"/>
      <c r="H6" s="198"/>
      <c r="I6" s="200"/>
    </row>
    <row r="7" spans="1:10" x14ac:dyDescent="0.3">
      <c r="A7" s="194" t="s">
        <v>15</v>
      </c>
      <c r="B7" s="196">
        <v>45722</v>
      </c>
      <c r="C7" s="61" t="s">
        <v>8</v>
      </c>
      <c r="D7" s="22">
        <v>463100</v>
      </c>
      <c r="E7" s="2">
        <f>47500+11600+53448+29610+11400</f>
        <v>153558</v>
      </c>
      <c r="F7" s="2">
        <f t="shared" si="0"/>
        <v>309542</v>
      </c>
      <c r="G7" s="198">
        <f>D7+D8</f>
        <v>822203</v>
      </c>
      <c r="H7" s="198">
        <f>E7+E8</f>
        <v>392377</v>
      </c>
      <c r="I7" s="200">
        <f>G7-H7</f>
        <v>429826</v>
      </c>
    </row>
    <row r="8" spans="1:10" ht="15" thickBot="1" x14ac:dyDescent="0.35">
      <c r="A8" s="194"/>
      <c r="B8" s="197"/>
      <c r="C8" s="61" t="s">
        <v>9</v>
      </c>
      <c r="D8" s="22">
        <v>359103</v>
      </c>
      <c r="E8" s="2">
        <f>238819</f>
        <v>238819</v>
      </c>
      <c r="F8" s="2">
        <f t="shared" si="0"/>
        <v>120284</v>
      </c>
      <c r="G8" s="198"/>
      <c r="H8" s="198"/>
      <c r="I8" s="200"/>
    </row>
    <row r="9" spans="1:10" x14ac:dyDescent="0.3">
      <c r="A9" s="234" t="s">
        <v>16</v>
      </c>
      <c r="B9" s="196">
        <v>45723</v>
      </c>
      <c r="C9" s="67" t="s">
        <v>8</v>
      </c>
      <c r="D9" s="22">
        <v>517437</v>
      </c>
      <c r="E9" s="69">
        <f>12300+78800+30000</f>
        <v>121100</v>
      </c>
      <c r="F9" s="69">
        <f t="shared" si="0"/>
        <v>396337</v>
      </c>
      <c r="G9" s="236">
        <f>D9+D10</f>
        <v>1041837</v>
      </c>
      <c r="H9" s="236">
        <f>E9+E10</f>
        <v>156250</v>
      </c>
      <c r="I9" s="238">
        <f>G9-H9</f>
        <v>885587</v>
      </c>
    </row>
    <row r="10" spans="1:10" ht="15" thickBot="1" x14ac:dyDescent="0.35">
      <c r="A10" s="235"/>
      <c r="B10" s="229"/>
      <c r="C10" s="81" t="s">
        <v>9</v>
      </c>
      <c r="D10" s="29">
        <v>524400</v>
      </c>
      <c r="E10" s="82">
        <f>35150</f>
        <v>35150</v>
      </c>
      <c r="F10" s="82">
        <f t="shared" si="0"/>
        <v>489250</v>
      </c>
      <c r="G10" s="237"/>
      <c r="H10" s="237"/>
      <c r="I10" s="239"/>
    </row>
    <row r="11" spans="1:10" x14ac:dyDescent="0.3">
      <c r="A11" s="250" t="s">
        <v>13</v>
      </c>
      <c r="B11" s="252">
        <v>45724</v>
      </c>
      <c r="C11" s="83" t="s">
        <v>8</v>
      </c>
      <c r="D11" s="33">
        <v>242353</v>
      </c>
      <c r="E11" s="31">
        <f>127000+20000</f>
        <v>147000</v>
      </c>
      <c r="F11" s="31">
        <f>D11-E11</f>
        <v>95353</v>
      </c>
      <c r="G11" s="230">
        <f>D11+D12</f>
        <v>541076</v>
      </c>
      <c r="H11" s="230">
        <f>E11+E12</f>
        <v>253000</v>
      </c>
      <c r="I11" s="232">
        <f>G11-H11</f>
        <v>288076</v>
      </c>
    </row>
    <row r="12" spans="1:10" ht="15" thickBot="1" x14ac:dyDescent="0.35">
      <c r="A12" s="251"/>
      <c r="B12" s="253"/>
      <c r="C12" s="84" t="s">
        <v>9</v>
      </c>
      <c r="D12" s="34">
        <v>298723</v>
      </c>
      <c r="E12" s="32">
        <f>46000+60000</f>
        <v>106000</v>
      </c>
      <c r="F12" s="32">
        <f>D12-E12</f>
        <v>192723</v>
      </c>
      <c r="G12" s="231"/>
      <c r="H12" s="231"/>
      <c r="I12" s="233"/>
    </row>
    <row r="13" spans="1:10" x14ac:dyDescent="0.3">
      <c r="A13" s="219" t="s">
        <v>17</v>
      </c>
      <c r="B13" s="196">
        <v>45726</v>
      </c>
      <c r="C13" s="60" t="s">
        <v>8</v>
      </c>
      <c r="D13" s="23">
        <v>373683</v>
      </c>
      <c r="E13" s="3">
        <f>36000+224017+13300+26600+126190+90300+80106+120000+1000</f>
        <v>717513</v>
      </c>
      <c r="F13" s="3">
        <f>D13-E13</f>
        <v>-343830</v>
      </c>
      <c r="G13" s="220">
        <f>D13+D14</f>
        <v>767662</v>
      </c>
      <c r="H13" s="220">
        <f>E13+E14</f>
        <v>1278513</v>
      </c>
      <c r="I13" s="221">
        <f>G13-H13</f>
        <v>-510851</v>
      </c>
      <c r="J13" s="248" t="s">
        <v>42</v>
      </c>
    </row>
    <row r="14" spans="1:10" ht="15" thickBot="1" x14ac:dyDescent="0.35">
      <c r="A14" s="194"/>
      <c r="B14" s="197"/>
      <c r="C14" s="61" t="s">
        <v>9</v>
      </c>
      <c r="D14" s="22">
        <v>393979</v>
      </c>
      <c r="E14" s="2">
        <f>530000+4600+26400</f>
        <v>561000</v>
      </c>
      <c r="F14" s="2">
        <f>D14-E14</f>
        <v>-167021</v>
      </c>
      <c r="G14" s="198"/>
      <c r="H14" s="198"/>
      <c r="I14" s="200"/>
      <c r="J14" s="249"/>
    </row>
    <row r="15" spans="1:10" x14ac:dyDescent="0.3">
      <c r="A15" s="194" t="s">
        <v>18</v>
      </c>
      <c r="B15" s="196">
        <v>45727</v>
      </c>
      <c r="C15" s="61" t="s">
        <v>8</v>
      </c>
      <c r="D15" s="22">
        <v>318132</v>
      </c>
      <c r="E15" s="2">
        <f>257038+19100+13900+22200+18000+24013</f>
        <v>354251</v>
      </c>
      <c r="F15" s="2">
        <f t="shared" ref="F15:F44" si="1">D15-E15</f>
        <v>-36119</v>
      </c>
      <c r="G15" s="198">
        <f>D15+D16</f>
        <v>690654</v>
      </c>
      <c r="H15" s="198">
        <f>E15+E16</f>
        <v>413528</v>
      </c>
      <c r="I15" s="200">
        <f>G15-H15</f>
        <v>277126</v>
      </c>
    </row>
    <row r="16" spans="1:10" ht="15" thickBot="1" x14ac:dyDescent="0.35">
      <c r="A16" s="194"/>
      <c r="B16" s="197"/>
      <c r="C16" s="61" t="s">
        <v>9</v>
      </c>
      <c r="D16" s="22">
        <v>372522</v>
      </c>
      <c r="E16" s="2">
        <f>8000+400+30000+20877</f>
        <v>59277</v>
      </c>
      <c r="F16" s="2">
        <f t="shared" si="1"/>
        <v>313245</v>
      </c>
      <c r="G16" s="198"/>
      <c r="H16" s="198"/>
      <c r="I16" s="200"/>
    </row>
    <row r="17" spans="1:14" x14ac:dyDescent="0.3">
      <c r="A17" s="194" t="s">
        <v>19</v>
      </c>
      <c r="B17" s="196">
        <v>45728</v>
      </c>
      <c r="C17" s="61" t="s">
        <v>8</v>
      </c>
      <c r="D17" s="2">
        <v>541840</v>
      </c>
      <c r="E17" s="2">
        <f>43960+155547+16000+10000+2000</f>
        <v>227507</v>
      </c>
      <c r="F17" s="2">
        <f t="shared" si="1"/>
        <v>314333</v>
      </c>
      <c r="G17" s="198">
        <f>D17+D18</f>
        <v>1096533</v>
      </c>
      <c r="H17" s="198">
        <f>E17+E18</f>
        <v>381307</v>
      </c>
      <c r="I17" s="200">
        <f>G17-H17</f>
        <v>715226</v>
      </c>
    </row>
    <row r="18" spans="1:14" ht="15" thickBot="1" x14ac:dyDescent="0.35">
      <c r="A18" s="194"/>
      <c r="B18" s="197"/>
      <c r="C18" s="61" t="s">
        <v>9</v>
      </c>
      <c r="D18" s="2">
        <v>554693</v>
      </c>
      <c r="E18" s="2">
        <f>50000+30000+43800+30000</f>
        <v>153800</v>
      </c>
      <c r="F18" s="2">
        <f t="shared" si="1"/>
        <v>400893</v>
      </c>
      <c r="G18" s="198"/>
      <c r="H18" s="198"/>
      <c r="I18" s="200"/>
    </row>
    <row r="19" spans="1:14" x14ac:dyDescent="0.3">
      <c r="A19" s="194" t="s">
        <v>15</v>
      </c>
      <c r="B19" s="196">
        <v>45729</v>
      </c>
      <c r="C19" s="61" t="s">
        <v>8</v>
      </c>
      <c r="D19" s="22">
        <v>522866</v>
      </c>
      <c r="E19" s="2">
        <f>15900+22215+306483+186178+51160+38000</f>
        <v>619936</v>
      </c>
      <c r="F19" s="2">
        <f t="shared" si="1"/>
        <v>-97070</v>
      </c>
      <c r="G19" s="198">
        <f>D19+D20</f>
        <v>980766</v>
      </c>
      <c r="H19" s="198">
        <f>E19+E20</f>
        <v>1063802</v>
      </c>
      <c r="I19" s="200">
        <f>G19-H19</f>
        <v>-83036</v>
      </c>
    </row>
    <row r="20" spans="1:14" ht="15" thickBot="1" x14ac:dyDescent="0.35">
      <c r="A20" s="194"/>
      <c r="B20" s="197"/>
      <c r="C20" s="61" t="s">
        <v>9</v>
      </c>
      <c r="D20" s="22">
        <v>457900</v>
      </c>
      <c r="E20" s="2">
        <f>8000+16000+149000+28334+48000+8532+161000+25000</f>
        <v>443866</v>
      </c>
      <c r="F20" s="2">
        <f t="shared" si="1"/>
        <v>14034</v>
      </c>
      <c r="G20" s="198"/>
      <c r="H20" s="198"/>
      <c r="I20" s="200"/>
    </row>
    <row r="21" spans="1:14" x14ac:dyDescent="0.3">
      <c r="A21" s="194" t="s">
        <v>16</v>
      </c>
      <c r="B21" s="196">
        <v>45730</v>
      </c>
      <c r="C21" s="61" t="s">
        <v>8</v>
      </c>
      <c r="D21" s="22">
        <v>483016</v>
      </c>
      <c r="E21" s="2">
        <f>105000+46050+17400+15000+9000+63379</f>
        <v>255829</v>
      </c>
      <c r="F21" s="2">
        <f t="shared" si="1"/>
        <v>227187</v>
      </c>
      <c r="G21" s="198">
        <f>D21+D22</f>
        <v>1027761</v>
      </c>
      <c r="H21" s="198">
        <f>E21+E22</f>
        <v>448392</v>
      </c>
      <c r="I21" s="200">
        <f>G21-H21</f>
        <v>579369</v>
      </c>
    </row>
    <row r="22" spans="1:14" ht="15" thickBot="1" x14ac:dyDescent="0.35">
      <c r="A22" s="195"/>
      <c r="B22" s="229"/>
      <c r="C22" s="79" t="s">
        <v>9</v>
      </c>
      <c r="D22" s="29">
        <v>544745</v>
      </c>
      <c r="E22" s="6">
        <f>192563</f>
        <v>192563</v>
      </c>
      <c r="F22" s="6">
        <f t="shared" si="1"/>
        <v>352182</v>
      </c>
      <c r="G22" s="199"/>
      <c r="H22" s="199"/>
      <c r="I22" s="201"/>
    </row>
    <row r="23" spans="1:14" x14ac:dyDescent="0.3">
      <c r="A23" s="202" t="s">
        <v>13</v>
      </c>
      <c r="B23" s="204">
        <v>45731</v>
      </c>
      <c r="C23" s="77" t="s">
        <v>8</v>
      </c>
      <c r="D23" s="35">
        <v>303857</v>
      </c>
      <c r="E23" s="36">
        <v>379090</v>
      </c>
      <c r="F23" s="36">
        <f t="shared" si="1"/>
        <v>-75233</v>
      </c>
      <c r="G23" s="206">
        <f>D23+D24</f>
        <v>548993</v>
      </c>
      <c r="H23" s="206">
        <f>E23+E24</f>
        <v>415190</v>
      </c>
      <c r="I23" s="208">
        <f>G23-H23</f>
        <v>133803</v>
      </c>
    </row>
    <row r="24" spans="1:14" ht="15" thickBot="1" x14ac:dyDescent="0.35">
      <c r="A24" s="203"/>
      <c r="B24" s="205"/>
      <c r="C24" s="78" t="s">
        <v>35</v>
      </c>
      <c r="D24" s="37">
        <v>245136</v>
      </c>
      <c r="E24" s="38">
        <v>36100</v>
      </c>
      <c r="F24" s="38">
        <f t="shared" si="1"/>
        <v>209036</v>
      </c>
      <c r="G24" s="207"/>
      <c r="H24" s="207"/>
      <c r="I24" s="209"/>
    </row>
    <row r="25" spans="1:14" s="1" customFormat="1" ht="14.25" customHeight="1" x14ac:dyDescent="0.3">
      <c r="A25" s="219" t="s">
        <v>17</v>
      </c>
      <c r="B25" s="196">
        <v>45733</v>
      </c>
      <c r="C25" s="60" t="s">
        <v>8</v>
      </c>
      <c r="D25" s="23">
        <v>370612</v>
      </c>
      <c r="E25" s="3">
        <f>48450+13300+34210+65307</f>
        <v>161267</v>
      </c>
      <c r="F25" s="3">
        <f t="shared" si="1"/>
        <v>209345</v>
      </c>
      <c r="G25" s="220">
        <f>D25+D26</f>
        <v>745227</v>
      </c>
      <c r="H25" s="220">
        <f>E25+E26</f>
        <v>301620</v>
      </c>
      <c r="I25" s="221">
        <f>G25-H25</f>
        <v>443607</v>
      </c>
      <c r="J25"/>
      <c r="K25"/>
      <c r="L25"/>
      <c r="M25"/>
      <c r="N25"/>
    </row>
    <row r="26" spans="1:14" s="1" customFormat="1" ht="15" thickBot="1" x14ac:dyDescent="0.35">
      <c r="A26" s="194"/>
      <c r="B26" s="197"/>
      <c r="C26" s="61" t="s">
        <v>9</v>
      </c>
      <c r="D26" s="22">
        <v>374615</v>
      </c>
      <c r="E26" s="2">
        <f>140353</f>
        <v>140353</v>
      </c>
      <c r="F26" s="2">
        <f t="shared" si="1"/>
        <v>234262</v>
      </c>
      <c r="G26" s="198"/>
      <c r="H26" s="198"/>
      <c r="I26" s="200"/>
      <c r="J26"/>
      <c r="K26"/>
      <c r="L26"/>
      <c r="M26"/>
      <c r="N26"/>
    </row>
    <row r="27" spans="1:14" s="1" customFormat="1" x14ac:dyDescent="0.3">
      <c r="A27" s="194" t="s">
        <v>18</v>
      </c>
      <c r="B27" s="196">
        <v>45734</v>
      </c>
      <c r="C27" s="61" t="s">
        <v>8</v>
      </c>
      <c r="D27" s="22">
        <v>334733</v>
      </c>
      <c r="E27" s="2">
        <f>36557+207862</f>
        <v>244419</v>
      </c>
      <c r="F27" s="2">
        <f t="shared" si="1"/>
        <v>90314</v>
      </c>
      <c r="G27" s="198">
        <f>D27+D28</f>
        <v>717331</v>
      </c>
      <c r="H27" s="198">
        <f>E27+E28</f>
        <v>421357</v>
      </c>
      <c r="I27" s="200">
        <f>G27-H27</f>
        <v>295974</v>
      </c>
      <c r="J27"/>
      <c r="K27"/>
      <c r="L27"/>
      <c r="M27"/>
      <c r="N27"/>
    </row>
    <row r="28" spans="1:14" s="1" customFormat="1" ht="15" thickBot="1" x14ac:dyDescent="0.35">
      <c r="A28" s="194"/>
      <c r="B28" s="197"/>
      <c r="C28" s="61" t="s">
        <v>9</v>
      </c>
      <c r="D28" s="22">
        <v>382598</v>
      </c>
      <c r="E28" s="2">
        <f>126188+12350+26400+12000</f>
        <v>176938</v>
      </c>
      <c r="F28" s="2">
        <f t="shared" si="1"/>
        <v>205660</v>
      </c>
      <c r="G28" s="198"/>
      <c r="H28" s="198"/>
      <c r="I28" s="200"/>
      <c r="J28"/>
      <c r="K28"/>
      <c r="L28"/>
    </row>
    <row r="29" spans="1:14" s="1" customFormat="1" ht="14.25" customHeight="1" x14ac:dyDescent="0.3">
      <c r="A29" s="194" t="s">
        <v>19</v>
      </c>
      <c r="B29" s="196">
        <v>45735</v>
      </c>
      <c r="C29" s="66" t="s">
        <v>8</v>
      </c>
      <c r="D29" s="44">
        <v>452660</v>
      </c>
      <c r="E29" s="45">
        <f>131708+105000</f>
        <v>236708</v>
      </c>
      <c r="F29" s="45">
        <f t="shared" si="1"/>
        <v>215952</v>
      </c>
      <c r="G29" s="211">
        <f>D29+D30</f>
        <v>946439</v>
      </c>
      <c r="H29" s="211">
        <f>E29+E30</f>
        <v>443278</v>
      </c>
      <c r="I29" s="212">
        <f>G29-H29</f>
        <v>503161</v>
      </c>
      <c r="J29" s="210"/>
      <c r="K29"/>
      <c r="L29"/>
    </row>
    <row r="30" spans="1:14" s="1" customFormat="1" ht="15" thickBot="1" x14ac:dyDescent="0.35">
      <c r="A30" s="194"/>
      <c r="B30" s="197"/>
      <c r="C30" s="66" t="s">
        <v>9</v>
      </c>
      <c r="D30" s="44">
        <v>493779</v>
      </c>
      <c r="E30" s="45">
        <f>18000+8000+180570</f>
        <v>206570</v>
      </c>
      <c r="F30" s="45">
        <f t="shared" si="1"/>
        <v>287209</v>
      </c>
      <c r="G30" s="211"/>
      <c r="H30" s="211"/>
      <c r="I30" s="212"/>
      <c r="J30" s="210"/>
      <c r="K30"/>
      <c r="L30"/>
    </row>
    <row r="31" spans="1:14" s="1" customFormat="1" x14ac:dyDescent="0.3">
      <c r="A31" s="194" t="s">
        <v>15</v>
      </c>
      <c r="B31" s="196">
        <v>45736</v>
      </c>
      <c r="C31" s="61" t="s">
        <v>8</v>
      </c>
      <c r="D31" s="22">
        <v>597470</v>
      </c>
      <c r="E31" s="2">
        <f>44965+63650+16000+8000+8000</f>
        <v>140615</v>
      </c>
      <c r="F31" s="2">
        <f t="shared" si="1"/>
        <v>456855</v>
      </c>
      <c r="G31" s="198">
        <f>D31+D32</f>
        <v>1076961</v>
      </c>
      <c r="H31" s="198">
        <f>E31+E32</f>
        <v>304901</v>
      </c>
      <c r="I31" s="200">
        <f>G31-H31</f>
        <v>772060</v>
      </c>
      <c r="J31"/>
      <c r="K31"/>
      <c r="L31"/>
      <c r="M31"/>
      <c r="N31"/>
    </row>
    <row r="32" spans="1:14" s="1" customFormat="1" ht="15" thickBot="1" x14ac:dyDescent="0.35">
      <c r="A32" s="194"/>
      <c r="B32" s="197"/>
      <c r="C32" s="61" t="s">
        <v>9</v>
      </c>
      <c r="D32" s="22">
        <v>479491</v>
      </c>
      <c r="E32" s="2">
        <f>164286</f>
        <v>164286</v>
      </c>
      <c r="F32" s="2">
        <f t="shared" si="1"/>
        <v>315205</v>
      </c>
      <c r="G32" s="198"/>
      <c r="H32" s="198"/>
      <c r="I32" s="200"/>
      <c r="J32"/>
      <c r="K32"/>
      <c r="L32"/>
      <c r="M32"/>
      <c r="N32"/>
    </row>
    <row r="33" spans="1:20" x14ac:dyDescent="0.3">
      <c r="A33" s="194" t="s">
        <v>16</v>
      </c>
      <c r="B33" s="196">
        <v>45737</v>
      </c>
      <c r="C33" s="61" t="s">
        <v>8</v>
      </c>
      <c r="D33" s="22">
        <v>445170</v>
      </c>
      <c r="E33" s="2">
        <f>40000+38000+12342+295726</f>
        <v>386068</v>
      </c>
      <c r="F33" s="2">
        <f t="shared" si="1"/>
        <v>59102</v>
      </c>
      <c r="G33" s="198">
        <f>D33+D34</f>
        <v>960317</v>
      </c>
      <c r="H33" s="198">
        <f>E33+E34</f>
        <v>667184</v>
      </c>
      <c r="I33" s="200">
        <f>G33-H33</f>
        <v>293133</v>
      </c>
    </row>
    <row r="34" spans="1:20" ht="15" thickBot="1" x14ac:dyDescent="0.35">
      <c r="A34" s="222"/>
      <c r="B34" s="197"/>
      <c r="C34" s="62" t="s">
        <v>9</v>
      </c>
      <c r="D34" s="27">
        <v>515147</v>
      </c>
      <c r="E34" s="10">
        <f>76066+120200+22800+10650+26400+9000+6000+10000</f>
        <v>281116</v>
      </c>
      <c r="F34" s="10">
        <f t="shared" si="1"/>
        <v>234031</v>
      </c>
      <c r="G34" s="223"/>
      <c r="H34" s="223"/>
      <c r="I34" s="225"/>
    </row>
    <row r="35" spans="1:20" x14ac:dyDescent="0.3">
      <c r="A35" s="213" t="s">
        <v>13</v>
      </c>
      <c r="B35" s="252">
        <v>45738</v>
      </c>
      <c r="C35" s="63" t="s">
        <v>8</v>
      </c>
      <c r="D35" s="54">
        <v>201635</v>
      </c>
      <c r="E35" s="48">
        <f>40000+15000</f>
        <v>55000</v>
      </c>
      <c r="F35" s="48">
        <f t="shared" si="1"/>
        <v>146635</v>
      </c>
      <c r="G35" s="217">
        <f>D35+D36</f>
        <v>413845</v>
      </c>
      <c r="H35" s="217">
        <f>E35+E36</f>
        <v>100250</v>
      </c>
      <c r="I35" s="217">
        <f>G35-H35</f>
        <v>313595</v>
      </c>
      <c r="J35" s="40"/>
    </row>
    <row r="36" spans="1:20" ht="15" thickBot="1" x14ac:dyDescent="0.35">
      <c r="A36" s="214"/>
      <c r="B36" s="279"/>
      <c r="C36" s="64" t="s">
        <v>35</v>
      </c>
      <c r="D36" s="55">
        <v>212210</v>
      </c>
      <c r="E36" s="49">
        <f>12000+33250</f>
        <v>45250</v>
      </c>
      <c r="F36" s="49">
        <f t="shared" si="1"/>
        <v>166960</v>
      </c>
      <c r="G36" s="218"/>
      <c r="H36" s="218"/>
      <c r="I36" s="218"/>
      <c r="J36" t="s">
        <v>43</v>
      </c>
      <c r="S36" s="43"/>
      <c r="T36" t="s">
        <v>41</v>
      </c>
    </row>
    <row r="37" spans="1:20" s="1" customFormat="1" x14ac:dyDescent="0.3">
      <c r="A37" s="194" t="s">
        <v>18</v>
      </c>
      <c r="B37" s="196">
        <v>45802</v>
      </c>
      <c r="C37" s="61" t="s">
        <v>8</v>
      </c>
      <c r="D37" s="22">
        <v>448393</v>
      </c>
      <c r="E37" s="2">
        <f>63650+14850+72080+105000+22215+163608</f>
        <v>441403</v>
      </c>
      <c r="F37" s="2">
        <f t="shared" si="1"/>
        <v>6990</v>
      </c>
      <c r="G37" s="198">
        <f>D37+D38</f>
        <v>1056393</v>
      </c>
      <c r="H37" s="198">
        <f>E37+E38</f>
        <v>848090</v>
      </c>
      <c r="I37" s="200">
        <f>G37-H37</f>
        <v>208303</v>
      </c>
      <c r="J37"/>
      <c r="K37"/>
      <c r="L37"/>
      <c r="M37"/>
      <c r="N37"/>
      <c r="O37"/>
      <c r="P37"/>
    </row>
    <row r="38" spans="1:20" s="1" customFormat="1" ht="15" thickBot="1" x14ac:dyDescent="0.35">
      <c r="A38" s="194"/>
      <c r="B38" s="197"/>
      <c r="C38" s="61" t="s">
        <v>9</v>
      </c>
      <c r="D38" s="22">
        <v>608000</v>
      </c>
      <c r="E38" s="2">
        <f>326687+60000+10000+10000</f>
        <v>406687</v>
      </c>
      <c r="F38" s="2">
        <f t="shared" si="1"/>
        <v>201313</v>
      </c>
      <c r="G38" s="198"/>
      <c r="H38" s="198"/>
      <c r="I38" s="200"/>
      <c r="J38"/>
      <c r="K38"/>
      <c r="L38"/>
      <c r="M38"/>
      <c r="N38"/>
      <c r="O38"/>
      <c r="P38"/>
    </row>
    <row r="39" spans="1:20" s="1" customFormat="1" ht="14.25" customHeight="1" x14ac:dyDescent="0.3">
      <c r="A39" s="194" t="s">
        <v>19</v>
      </c>
      <c r="B39" s="196">
        <v>45803</v>
      </c>
      <c r="C39" s="66" t="s">
        <v>8</v>
      </c>
      <c r="D39" s="44">
        <v>459531</v>
      </c>
      <c r="E39" s="45">
        <f>22215+33467+58900+5100+126200+36000</f>
        <v>281882</v>
      </c>
      <c r="F39" s="45">
        <f t="shared" si="1"/>
        <v>177649</v>
      </c>
      <c r="G39" s="211">
        <f>D39+D40</f>
        <v>1043949</v>
      </c>
      <c r="H39" s="211">
        <f>E39+E40</f>
        <v>565088</v>
      </c>
      <c r="I39" s="212">
        <f>G39-H39</f>
        <v>478861</v>
      </c>
      <c r="J39" s="210"/>
      <c r="K39"/>
      <c r="L39"/>
      <c r="O39"/>
      <c r="P39"/>
    </row>
    <row r="40" spans="1:20" s="1" customFormat="1" ht="15" thickBot="1" x14ac:dyDescent="0.35">
      <c r="A40" s="194"/>
      <c r="B40" s="197"/>
      <c r="C40" s="66" t="s">
        <v>9</v>
      </c>
      <c r="D40" s="44">
        <v>584418</v>
      </c>
      <c r="E40" s="45">
        <f>233206+30000+20000</f>
        <v>283206</v>
      </c>
      <c r="F40" s="45">
        <f t="shared" si="1"/>
        <v>301212</v>
      </c>
      <c r="G40" s="211"/>
      <c r="H40" s="211"/>
      <c r="I40" s="212"/>
      <c r="J40" s="210"/>
      <c r="K40"/>
      <c r="L40"/>
      <c r="O40"/>
      <c r="P40"/>
    </row>
    <row r="41" spans="1:20" s="1" customFormat="1" x14ac:dyDescent="0.3">
      <c r="A41" s="194" t="s">
        <v>15</v>
      </c>
      <c r="B41" s="196">
        <v>45804</v>
      </c>
      <c r="C41" s="61" t="s">
        <v>8</v>
      </c>
      <c r="D41" s="22">
        <v>568672</v>
      </c>
      <c r="E41" s="2">
        <f>22800+225008+83310+117000</f>
        <v>448118</v>
      </c>
      <c r="F41" s="2">
        <f t="shared" si="1"/>
        <v>120554</v>
      </c>
      <c r="G41" s="198">
        <f>D41+D42</f>
        <v>1170164</v>
      </c>
      <c r="H41" s="198">
        <f>E41+E42</f>
        <v>845430</v>
      </c>
      <c r="I41" s="200">
        <f>G41-H41</f>
        <v>324734</v>
      </c>
      <c r="J41"/>
      <c r="K41"/>
      <c r="L41"/>
      <c r="O41"/>
      <c r="P41"/>
    </row>
    <row r="42" spans="1:20" s="1" customFormat="1" ht="15" thickBot="1" x14ac:dyDescent="0.35">
      <c r="A42" s="194"/>
      <c r="B42" s="197"/>
      <c r="C42" s="61" t="s">
        <v>9</v>
      </c>
      <c r="D42" s="22">
        <v>601492</v>
      </c>
      <c r="E42" s="2">
        <f>22215+25209+25000+324888</f>
        <v>397312</v>
      </c>
      <c r="F42" s="2">
        <f t="shared" si="1"/>
        <v>204180</v>
      </c>
      <c r="G42" s="198"/>
      <c r="H42" s="198"/>
      <c r="I42" s="200"/>
      <c r="J42"/>
      <c r="K42"/>
      <c r="L42"/>
      <c r="M42"/>
      <c r="N42"/>
      <c r="O42"/>
      <c r="P42"/>
    </row>
    <row r="43" spans="1:20" x14ac:dyDescent="0.3">
      <c r="A43" s="194" t="s">
        <v>16</v>
      </c>
      <c r="B43" s="196">
        <v>45805</v>
      </c>
      <c r="C43" s="61" t="s">
        <v>8</v>
      </c>
      <c r="D43" s="22">
        <v>542389</v>
      </c>
      <c r="E43" s="2">
        <f>63650+17400+12000+35000</f>
        <v>128050</v>
      </c>
      <c r="F43" s="2">
        <f t="shared" si="1"/>
        <v>414339</v>
      </c>
      <c r="G43" s="198">
        <f>D43+D44</f>
        <v>1030499</v>
      </c>
      <c r="H43" s="198">
        <f>E43+E44</f>
        <v>390700</v>
      </c>
      <c r="I43" s="200">
        <f>G43-H43</f>
        <v>639799</v>
      </c>
    </row>
    <row r="44" spans="1:20" ht="15" thickBot="1" x14ac:dyDescent="0.35">
      <c r="A44" s="222"/>
      <c r="B44" s="197"/>
      <c r="C44" s="62" t="s">
        <v>9</v>
      </c>
      <c r="D44" s="27">
        <v>488110</v>
      </c>
      <c r="E44" s="10">
        <f>145725+116925</f>
        <v>262650</v>
      </c>
      <c r="F44" s="10">
        <f t="shared" si="1"/>
        <v>225460</v>
      </c>
      <c r="G44" s="223"/>
      <c r="H44" s="223"/>
      <c r="I44" s="225"/>
      <c r="M44" s="13" t="s">
        <v>2</v>
      </c>
      <c r="N44" s="12">
        <v>1</v>
      </c>
    </row>
    <row r="45" spans="1:20" x14ac:dyDescent="0.3">
      <c r="A45" s="202" t="s">
        <v>13</v>
      </c>
      <c r="B45" s="204">
        <v>45806</v>
      </c>
      <c r="C45" s="77" t="s">
        <v>8</v>
      </c>
      <c r="D45" s="35">
        <v>218020</v>
      </c>
      <c r="E45" s="36">
        <f>121360+71750</f>
        <v>193110</v>
      </c>
      <c r="F45" s="36">
        <f>D45-E45</f>
        <v>24910</v>
      </c>
      <c r="G45" s="206">
        <f>D45+D46</f>
        <v>504523</v>
      </c>
      <c r="H45" s="206">
        <f>E45+E46</f>
        <v>367820</v>
      </c>
      <c r="I45" s="208">
        <f>G45-H45</f>
        <v>136703</v>
      </c>
      <c r="M45" s="14" t="s">
        <v>11</v>
      </c>
      <c r="N45" s="17">
        <f>H49*100/G49/100</f>
        <v>0.6026031765237635</v>
      </c>
    </row>
    <row r="46" spans="1:20" ht="15" thickBot="1" x14ac:dyDescent="0.35">
      <c r="A46" s="203"/>
      <c r="B46" s="205"/>
      <c r="C46" s="78" t="s">
        <v>9</v>
      </c>
      <c r="D46" s="37">
        <v>286503</v>
      </c>
      <c r="E46" s="38">
        <f>162360+12350</f>
        <v>174710</v>
      </c>
      <c r="F46" s="38">
        <f>D46-E46</f>
        <v>111793</v>
      </c>
      <c r="G46" s="207"/>
      <c r="H46" s="207"/>
      <c r="I46" s="209"/>
      <c r="M46" s="15" t="s">
        <v>3</v>
      </c>
      <c r="N46" s="16">
        <f>(100%-N45)</f>
        <v>0.3973968234762365</v>
      </c>
    </row>
    <row r="47" spans="1:20" x14ac:dyDescent="0.3">
      <c r="A47" s="226" t="s">
        <v>17</v>
      </c>
      <c r="B47" s="227">
        <v>45808</v>
      </c>
      <c r="C47" s="76" t="s">
        <v>8</v>
      </c>
      <c r="D47" s="30">
        <v>543867</v>
      </c>
      <c r="E47" s="11">
        <f>8000+11600+127000+40202</f>
        <v>186802</v>
      </c>
      <c r="F47" s="11">
        <f>D47-E47</f>
        <v>357065</v>
      </c>
      <c r="G47" s="224">
        <f>D47+D48</f>
        <v>1118570</v>
      </c>
      <c r="H47" s="224">
        <f>E47+E48</f>
        <v>414766</v>
      </c>
      <c r="I47" s="228">
        <f>G47-H47</f>
        <v>703804</v>
      </c>
    </row>
    <row r="48" spans="1:20" ht="15" thickBot="1" x14ac:dyDescent="0.35">
      <c r="A48" s="222"/>
      <c r="B48" s="197"/>
      <c r="C48" s="62" t="s">
        <v>9</v>
      </c>
      <c r="D48" s="27">
        <v>574703</v>
      </c>
      <c r="E48" s="10">
        <f>227964</f>
        <v>227964</v>
      </c>
      <c r="F48" s="10">
        <f>D48-E48</f>
        <v>346739</v>
      </c>
      <c r="G48" s="223"/>
      <c r="H48" s="223"/>
      <c r="I48" s="225"/>
    </row>
    <row r="49" spans="1:17" s="1" customFormat="1" ht="15" thickBot="1" x14ac:dyDescent="0.35">
      <c r="A49"/>
      <c r="B49" s="277" t="s">
        <v>10</v>
      </c>
      <c r="C49" s="278"/>
      <c r="D49" s="50">
        <f t="shared" ref="D49:I49" si="2">SUM(D3:D48)</f>
        <v>19438482</v>
      </c>
      <c r="E49" s="50">
        <f t="shared" si="2"/>
        <v>11713691</v>
      </c>
      <c r="F49" s="50">
        <f t="shared" si="2"/>
        <v>7724791</v>
      </c>
      <c r="G49" s="50">
        <f t="shared" si="2"/>
        <v>19438482</v>
      </c>
      <c r="H49" s="50">
        <f t="shared" si="2"/>
        <v>11713691</v>
      </c>
      <c r="I49" s="50">
        <f t="shared" si="2"/>
        <v>7724791</v>
      </c>
      <c r="J49"/>
      <c r="K49" s="39"/>
      <c r="L49"/>
      <c r="M49"/>
      <c r="N49"/>
    </row>
    <row r="50" spans="1:17" s="1" customFormat="1" x14ac:dyDescent="0.3">
      <c r="A50"/>
      <c r="J50"/>
      <c r="K50" s="39"/>
      <c r="L50"/>
      <c r="M50"/>
      <c r="N50"/>
    </row>
    <row r="51" spans="1:17" s="1" customFormat="1" x14ac:dyDescent="0.3">
      <c r="A51"/>
      <c r="J51"/>
      <c r="K51" s="39"/>
      <c r="L51"/>
      <c r="M51"/>
      <c r="N51"/>
    </row>
    <row r="52" spans="1:17" s="1" customFormat="1" x14ac:dyDescent="0.3">
      <c r="A52"/>
      <c r="J52"/>
      <c r="K52" s="39"/>
      <c r="L52"/>
      <c r="M52"/>
      <c r="N52"/>
    </row>
    <row r="53" spans="1:17" x14ac:dyDescent="0.3">
      <c r="K53" s="39"/>
    </row>
    <row r="54" spans="1:17" x14ac:dyDescent="0.3">
      <c r="D54" s="20" t="s">
        <v>21</v>
      </c>
      <c r="E54" s="2">
        <f>MAXA(G3:G32)</f>
        <v>1096533</v>
      </c>
      <c r="F54" s="187"/>
      <c r="G54" s="187"/>
      <c r="K54" s="39"/>
    </row>
    <row r="55" spans="1:17" x14ac:dyDescent="0.3">
      <c r="D55" s="21" t="s">
        <v>22</v>
      </c>
      <c r="E55" s="2">
        <f>IF(MINA(D3:D38)&lt;&gt;0, MINA(D3:D38))</f>
        <v>201635</v>
      </c>
      <c r="F55" s="187"/>
      <c r="G55" s="187"/>
      <c r="K55" s="39"/>
    </row>
    <row r="56" spans="1:17" s="1" customFormat="1" x14ac:dyDescent="0.3">
      <c r="A56"/>
      <c r="C56" s="1" t="s">
        <v>20</v>
      </c>
      <c r="J56"/>
      <c r="K56"/>
      <c r="L56"/>
      <c r="M56"/>
      <c r="N56"/>
    </row>
    <row r="57" spans="1:17" x14ac:dyDescent="0.3">
      <c r="D57" s="192" t="s">
        <v>36</v>
      </c>
      <c r="E57" s="18">
        <f>AVERAGEA(G3:G4)</f>
        <v>509407</v>
      </c>
      <c r="F57" s="187" t="s">
        <v>23</v>
      </c>
      <c r="G57" s="187"/>
      <c r="I57" s="193" t="s">
        <v>37</v>
      </c>
      <c r="J57" s="18">
        <f>AVERAGEA(H3:H3)</f>
        <v>675705</v>
      </c>
      <c r="K57" s="187" t="s">
        <v>23</v>
      </c>
      <c r="L57" s="187"/>
      <c r="N57" s="188" t="s">
        <v>38</v>
      </c>
      <c r="O57" s="18">
        <f>AVERAGEA(I3:I4)</f>
        <v>-166298</v>
      </c>
      <c r="P57" s="187" t="s">
        <v>23</v>
      </c>
      <c r="Q57" s="187"/>
    </row>
    <row r="58" spans="1:17" x14ac:dyDescent="0.3">
      <c r="D58" s="192"/>
      <c r="E58" s="18">
        <f>AVERAGEA(G5:G12)</f>
        <v>758122</v>
      </c>
      <c r="F58" s="187" t="s">
        <v>24</v>
      </c>
      <c r="G58" s="187"/>
      <c r="I58" s="193"/>
      <c r="J58" s="18">
        <f>AVERAGEA(H5:H12)</f>
        <v>341692.5</v>
      </c>
      <c r="K58" s="187" t="s">
        <v>24</v>
      </c>
      <c r="L58" s="187"/>
      <c r="N58" s="188"/>
      <c r="O58" s="18">
        <f>AVERAGEA(I5:I12)</f>
        <v>416429.5</v>
      </c>
      <c r="P58" s="187" t="s">
        <v>24</v>
      </c>
      <c r="Q58" s="187"/>
    </row>
    <row r="59" spans="1:17" x14ac:dyDescent="0.3">
      <c r="D59" s="192"/>
      <c r="E59" s="18">
        <f>AVERAGEA(G13:G24)</f>
        <v>852061.5</v>
      </c>
      <c r="F59" s="187" t="s">
        <v>25</v>
      </c>
      <c r="G59" s="187"/>
      <c r="I59" s="193"/>
      <c r="J59" s="18">
        <f>AVERAGEA(H13:H24)</f>
        <v>666788.66666666663</v>
      </c>
      <c r="K59" s="187" t="s">
        <v>25</v>
      </c>
      <c r="L59" s="187"/>
      <c r="N59" s="188"/>
      <c r="O59" s="18">
        <f>AVERAGEA(I13:I24)</f>
        <v>185272.83333333334</v>
      </c>
      <c r="P59" s="187" t="s">
        <v>25</v>
      </c>
      <c r="Q59" s="187"/>
    </row>
    <row r="60" spans="1:17" x14ac:dyDescent="0.3">
      <c r="D60" s="192"/>
      <c r="E60" s="18">
        <f>AVERAGEA(G25:G36)</f>
        <v>810020</v>
      </c>
      <c r="F60" s="184" t="s">
        <v>26</v>
      </c>
      <c r="G60" s="185"/>
      <c r="I60" s="193"/>
      <c r="J60" s="18">
        <f>AVERAGEA(H25:H36)</f>
        <v>373098.33333333331</v>
      </c>
      <c r="K60" s="184" t="s">
        <v>26</v>
      </c>
      <c r="L60" s="185"/>
      <c r="N60" s="188"/>
      <c r="O60" s="18">
        <f>AVERAGEA(I25:I36)</f>
        <v>436921.66666666669</v>
      </c>
      <c r="P60" s="184" t="s">
        <v>26</v>
      </c>
      <c r="Q60" s="185"/>
    </row>
    <row r="61" spans="1:17" x14ac:dyDescent="0.3">
      <c r="D61" s="192"/>
      <c r="E61" s="18">
        <f>AVERAGEA(G37:G38)</f>
        <v>1056393</v>
      </c>
      <c r="F61" s="184" t="s">
        <v>34</v>
      </c>
      <c r="G61" s="185"/>
      <c r="I61" s="193"/>
      <c r="J61" s="18">
        <f>AVERAGEA(H37:H38)</f>
        <v>848090</v>
      </c>
      <c r="K61" s="184" t="s">
        <v>34</v>
      </c>
      <c r="L61" s="185"/>
      <c r="N61" s="188"/>
      <c r="O61" s="18">
        <f>AVERAGEA(I37:I44)</f>
        <v>412924.25</v>
      </c>
      <c r="P61" s="184" t="s">
        <v>34</v>
      </c>
      <c r="Q61" s="185"/>
    </row>
    <row r="62" spans="1:17" x14ac:dyDescent="0.3">
      <c r="D62" s="192"/>
      <c r="E62" s="28">
        <f>AVERAGEA(E57:E60)</f>
        <v>732402.625</v>
      </c>
      <c r="F62" s="186" t="s">
        <v>10</v>
      </c>
      <c r="G62" s="186"/>
      <c r="I62" s="193"/>
      <c r="J62" s="28">
        <f>AVERAGEA(J57:J60)</f>
        <v>514321.12499999994</v>
      </c>
      <c r="K62" s="186" t="s">
        <v>10</v>
      </c>
      <c r="L62" s="186"/>
      <c r="N62" s="189"/>
      <c r="O62" s="28">
        <f>AVERAGEA(O57:O60)</f>
        <v>218081.5</v>
      </c>
      <c r="P62" s="186" t="s">
        <v>10</v>
      </c>
      <c r="Q62" s="186"/>
    </row>
    <row r="64" spans="1:17" x14ac:dyDescent="0.3">
      <c r="D64"/>
      <c r="E64"/>
      <c r="F64"/>
      <c r="G64"/>
      <c r="H64"/>
      <c r="I64"/>
    </row>
    <row r="65" spans="1:14" s="1" customFormat="1" x14ac:dyDescent="0.3">
      <c r="A65"/>
      <c r="D65"/>
      <c r="E65"/>
      <c r="F65"/>
      <c r="G65"/>
      <c r="H65"/>
      <c r="I65"/>
      <c r="J65"/>
      <c r="K65"/>
      <c r="L65"/>
      <c r="M65"/>
      <c r="N65"/>
    </row>
    <row r="66" spans="1:14" x14ac:dyDescent="0.3">
      <c r="D66"/>
      <c r="E66"/>
      <c r="F66"/>
      <c r="G66"/>
      <c r="H66"/>
      <c r="I66"/>
    </row>
    <row r="67" spans="1:14" ht="27" customHeight="1" x14ac:dyDescent="0.3">
      <c r="D67"/>
      <c r="E67"/>
      <c r="F67"/>
      <c r="G67"/>
      <c r="H67"/>
      <c r="I67"/>
    </row>
    <row r="68" spans="1:14" x14ac:dyDescent="0.3">
      <c r="D68"/>
      <c r="E68"/>
      <c r="F68"/>
      <c r="G68"/>
      <c r="H68"/>
      <c r="I68"/>
    </row>
    <row r="69" spans="1:14" x14ac:dyDescent="0.3">
      <c r="D69"/>
      <c r="E69"/>
      <c r="F69"/>
      <c r="G69"/>
      <c r="H69"/>
      <c r="I69"/>
    </row>
    <row r="70" spans="1:14" x14ac:dyDescent="0.3">
      <c r="D70"/>
      <c r="E70"/>
      <c r="F70"/>
      <c r="G70"/>
      <c r="H70"/>
      <c r="I70"/>
    </row>
    <row r="71" spans="1:14" x14ac:dyDescent="0.3">
      <c r="D71"/>
      <c r="E71"/>
      <c r="F71"/>
      <c r="G71"/>
      <c r="H71"/>
      <c r="I71"/>
    </row>
    <row r="72" spans="1:14" x14ac:dyDescent="0.3">
      <c r="D72"/>
      <c r="E72"/>
      <c r="F72"/>
      <c r="G72"/>
      <c r="H72"/>
      <c r="I72"/>
    </row>
    <row r="73" spans="1:14" x14ac:dyDescent="0.3">
      <c r="D73"/>
      <c r="E73"/>
      <c r="F73"/>
      <c r="G73"/>
      <c r="H73"/>
      <c r="I73"/>
    </row>
    <row r="74" spans="1:14" x14ac:dyDescent="0.3">
      <c r="D74"/>
      <c r="E74"/>
      <c r="F74"/>
      <c r="G74"/>
      <c r="H74"/>
      <c r="I74"/>
    </row>
  </sheetData>
  <autoFilter ref="B2:I48" xr:uid="{00000000-0009-0000-0000-000001000000}"/>
  <mergeCells count="147">
    <mergeCell ref="A1:A2"/>
    <mergeCell ref="B1:B2"/>
    <mergeCell ref="C1:C2"/>
    <mergeCell ref="D1:F1"/>
    <mergeCell ref="G1:I1"/>
    <mergeCell ref="A3:A4"/>
    <mergeCell ref="B3:B4"/>
    <mergeCell ref="G3:G4"/>
    <mergeCell ref="H3:H4"/>
    <mergeCell ref="I3:I4"/>
    <mergeCell ref="A5:A6"/>
    <mergeCell ref="B5:B6"/>
    <mergeCell ref="G5:G6"/>
    <mergeCell ref="H5:H6"/>
    <mergeCell ref="I5:I6"/>
    <mergeCell ref="A7:A8"/>
    <mergeCell ref="B7:B8"/>
    <mergeCell ref="G7:G8"/>
    <mergeCell ref="H7:H8"/>
    <mergeCell ref="I7:I8"/>
    <mergeCell ref="A13:A14"/>
    <mergeCell ref="B13:B14"/>
    <mergeCell ref="G13:G14"/>
    <mergeCell ref="H13:H14"/>
    <mergeCell ref="I13:I14"/>
    <mergeCell ref="J13:J14"/>
    <mergeCell ref="A9:A10"/>
    <mergeCell ref="B9:B10"/>
    <mergeCell ref="G9:G10"/>
    <mergeCell ref="H9:H10"/>
    <mergeCell ref="I9:I10"/>
    <mergeCell ref="A11:A12"/>
    <mergeCell ref="B11:B12"/>
    <mergeCell ref="G11:G12"/>
    <mergeCell ref="H11:H12"/>
    <mergeCell ref="I11:I12"/>
    <mergeCell ref="A15:A16"/>
    <mergeCell ref="B15:B16"/>
    <mergeCell ref="G15:G16"/>
    <mergeCell ref="H15:H16"/>
    <mergeCell ref="I15:I16"/>
    <mergeCell ref="A17:A18"/>
    <mergeCell ref="B17:B18"/>
    <mergeCell ref="G17:G18"/>
    <mergeCell ref="H17:H18"/>
    <mergeCell ref="I17:I18"/>
    <mergeCell ref="A19:A20"/>
    <mergeCell ref="B19:B20"/>
    <mergeCell ref="G19:G20"/>
    <mergeCell ref="H19:H20"/>
    <mergeCell ref="I19:I20"/>
    <mergeCell ref="A21:A22"/>
    <mergeCell ref="B21:B22"/>
    <mergeCell ref="G21:G22"/>
    <mergeCell ref="H21:H22"/>
    <mergeCell ref="I21:I22"/>
    <mergeCell ref="A23:A24"/>
    <mergeCell ref="B23:B24"/>
    <mergeCell ref="G23:G24"/>
    <mergeCell ref="H23:H24"/>
    <mergeCell ref="I23:I24"/>
    <mergeCell ref="A25:A26"/>
    <mergeCell ref="B25:B26"/>
    <mergeCell ref="G25:G26"/>
    <mergeCell ref="H25:H26"/>
    <mergeCell ref="I25:I26"/>
    <mergeCell ref="J29:J30"/>
    <mergeCell ref="A31:A32"/>
    <mergeCell ref="B31:B32"/>
    <mergeCell ref="G31:G32"/>
    <mergeCell ref="H31:H32"/>
    <mergeCell ref="I31:I32"/>
    <mergeCell ref="A27:A28"/>
    <mergeCell ref="B27:B28"/>
    <mergeCell ref="G27:G28"/>
    <mergeCell ref="H27:H28"/>
    <mergeCell ref="I27:I28"/>
    <mergeCell ref="A29:A30"/>
    <mergeCell ref="B29:B30"/>
    <mergeCell ref="G29:G30"/>
    <mergeCell ref="H29:H30"/>
    <mergeCell ref="I29:I30"/>
    <mergeCell ref="A33:A34"/>
    <mergeCell ref="B33:B34"/>
    <mergeCell ref="G33:G34"/>
    <mergeCell ref="H33:H34"/>
    <mergeCell ref="I33:I34"/>
    <mergeCell ref="A35:A36"/>
    <mergeCell ref="B35:B36"/>
    <mergeCell ref="G35:G36"/>
    <mergeCell ref="H35:H36"/>
    <mergeCell ref="I35:I36"/>
    <mergeCell ref="A39:A40"/>
    <mergeCell ref="B39:B40"/>
    <mergeCell ref="G39:G40"/>
    <mergeCell ref="H39:H40"/>
    <mergeCell ref="I39:I40"/>
    <mergeCell ref="J39:J40"/>
    <mergeCell ref="A37:A38"/>
    <mergeCell ref="B37:B38"/>
    <mergeCell ref="G37:G38"/>
    <mergeCell ref="H37:H38"/>
    <mergeCell ref="I37:I38"/>
    <mergeCell ref="B49:C49"/>
    <mergeCell ref="F54:G54"/>
    <mergeCell ref="F55:G55"/>
    <mergeCell ref="D57:D62"/>
    <mergeCell ref="F57:G57"/>
    <mergeCell ref="I57:I62"/>
    <mergeCell ref="A41:A42"/>
    <mergeCell ref="B41:B42"/>
    <mergeCell ref="G41:G42"/>
    <mergeCell ref="H41:H42"/>
    <mergeCell ref="I41:I42"/>
    <mergeCell ref="A43:A44"/>
    <mergeCell ref="B43:B44"/>
    <mergeCell ref="G43:G44"/>
    <mergeCell ref="H43:H44"/>
    <mergeCell ref="I43:I44"/>
    <mergeCell ref="A45:A46"/>
    <mergeCell ref="B45:B46"/>
    <mergeCell ref="G45:G46"/>
    <mergeCell ref="H45:H46"/>
    <mergeCell ref="I45:I46"/>
    <mergeCell ref="A47:A48"/>
    <mergeCell ref="B47:B48"/>
    <mergeCell ref="G47:G48"/>
    <mergeCell ref="H47:H48"/>
    <mergeCell ref="I47:I48"/>
    <mergeCell ref="K60:L60"/>
    <mergeCell ref="P60:Q60"/>
    <mergeCell ref="F61:G61"/>
    <mergeCell ref="K61:L61"/>
    <mergeCell ref="P61:Q61"/>
    <mergeCell ref="F62:G62"/>
    <mergeCell ref="K62:L62"/>
    <mergeCell ref="P62:Q62"/>
    <mergeCell ref="K57:L57"/>
    <mergeCell ref="N57:N62"/>
    <mergeCell ref="P57:Q57"/>
    <mergeCell ref="F58:G58"/>
    <mergeCell ref="K58:L58"/>
    <mergeCell ref="P58:Q58"/>
    <mergeCell ref="F59:G59"/>
    <mergeCell ref="K59:L59"/>
    <mergeCell ref="P59:Q59"/>
    <mergeCell ref="F60:G60"/>
  </mergeCell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FEB34-C75C-458A-A7FF-697C318326D9}">
  <sheetPr>
    <tabColor theme="2" tint="-9.9978637043366805E-2"/>
  </sheetPr>
  <dimension ref="A1:T80"/>
  <sheetViews>
    <sheetView showGridLines="0" zoomScale="85" zoomScaleNormal="85" workbookViewId="0">
      <pane xSplit="3" ySplit="2" topLeftCell="D38" activePane="bottomRight" state="frozen"/>
      <selection activeCell="S39" sqref="S39"/>
      <selection pane="topRight" activeCell="S39" sqref="S39"/>
      <selection pane="bottomLeft" activeCell="S39" sqref="S39"/>
      <selection pane="bottomRight" activeCell="S39" sqref="S39"/>
    </sheetView>
  </sheetViews>
  <sheetFormatPr baseColWidth="10" defaultRowHeight="14.4" x14ac:dyDescent="0.3"/>
  <cols>
    <col min="1" max="1" width="8.88671875" customWidth="1"/>
    <col min="2" max="2" width="10.88671875" style="1" customWidth="1"/>
    <col min="3" max="3" width="8.88671875" style="1" customWidth="1"/>
    <col min="4" max="4" width="13.33203125" style="1" customWidth="1"/>
    <col min="5" max="5" width="11.88671875" style="1" customWidth="1"/>
    <col min="6" max="6" width="11.33203125" style="1" customWidth="1"/>
    <col min="7" max="7" width="11.44140625" style="1" customWidth="1"/>
    <col min="8" max="8" width="13.44140625" style="1" customWidth="1"/>
    <col min="9" max="9" width="11.88671875" style="1" customWidth="1"/>
    <col min="10" max="10" width="12" bestFit="1" customWidth="1"/>
    <col min="11" max="11" width="12.33203125" bestFit="1" customWidth="1"/>
  </cols>
  <sheetData>
    <row r="1" spans="1:10" x14ac:dyDescent="0.3">
      <c r="A1" s="241" t="s">
        <v>12</v>
      </c>
      <c r="B1" s="241" t="s">
        <v>0</v>
      </c>
      <c r="C1" s="241" t="s">
        <v>1</v>
      </c>
      <c r="D1" s="243" t="s">
        <v>7</v>
      </c>
      <c r="E1" s="244"/>
      <c r="F1" s="244"/>
      <c r="G1" s="245" t="s">
        <v>10</v>
      </c>
      <c r="H1" s="246"/>
      <c r="I1" s="247"/>
    </row>
    <row r="2" spans="1:10" x14ac:dyDescent="0.3">
      <c r="A2" s="242"/>
      <c r="B2" s="242"/>
      <c r="C2" s="242"/>
      <c r="D2" s="4" t="s">
        <v>4</v>
      </c>
      <c r="E2" s="5" t="s">
        <v>5</v>
      </c>
      <c r="F2" s="7" t="s">
        <v>6</v>
      </c>
      <c r="G2" s="8" t="s">
        <v>2</v>
      </c>
      <c r="H2" s="5" t="s">
        <v>11</v>
      </c>
      <c r="I2" s="9" t="s">
        <v>3</v>
      </c>
    </row>
    <row r="3" spans="1:10" x14ac:dyDescent="0.3">
      <c r="A3" s="226" t="s">
        <v>18</v>
      </c>
      <c r="B3" s="227">
        <v>45748</v>
      </c>
      <c r="C3" s="76" t="s">
        <v>8</v>
      </c>
      <c r="D3" s="30">
        <v>602829</v>
      </c>
      <c r="E3" s="11">
        <f>45600+16000+13300+53810+117000+26400+36000</f>
        <v>308110</v>
      </c>
      <c r="F3" s="11">
        <f t="shared" ref="F3:F10" si="0">D3-E3</f>
        <v>294719</v>
      </c>
      <c r="G3" s="224">
        <f>D3+D4</f>
        <v>1224829</v>
      </c>
      <c r="H3" s="224">
        <f>E3+E4</f>
        <v>673227</v>
      </c>
      <c r="I3" s="228">
        <f>G3-H3</f>
        <v>551602</v>
      </c>
    </row>
    <row r="4" spans="1:10" x14ac:dyDescent="0.3">
      <c r="A4" s="194"/>
      <c r="B4" s="197"/>
      <c r="C4" s="61" t="s">
        <v>9</v>
      </c>
      <c r="D4" s="22">
        <v>622000</v>
      </c>
      <c r="E4" s="2">
        <f>365117</f>
        <v>365117</v>
      </c>
      <c r="F4" s="2">
        <f t="shared" si="0"/>
        <v>256883</v>
      </c>
      <c r="G4" s="198"/>
      <c r="H4" s="198"/>
      <c r="I4" s="200"/>
    </row>
    <row r="5" spans="1:10" x14ac:dyDescent="0.3">
      <c r="A5" s="226" t="s">
        <v>19</v>
      </c>
      <c r="B5" s="227">
        <v>45749</v>
      </c>
      <c r="C5" s="76" t="s">
        <v>8</v>
      </c>
      <c r="D5" s="30">
        <v>195882</v>
      </c>
      <c r="E5" s="11">
        <f>45600+8000+114352+306496</f>
        <v>474448</v>
      </c>
      <c r="F5" s="11">
        <f t="shared" si="0"/>
        <v>-278566</v>
      </c>
      <c r="G5" s="224">
        <f>D5+D6</f>
        <v>195882</v>
      </c>
      <c r="H5" s="224">
        <f>E5+E6</f>
        <v>474448</v>
      </c>
      <c r="I5" s="228">
        <f>G5-H5</f>
        <v>-278566</v>
      </c>
      <c r="J5" s="282" t="s">
        <v>53</v>
      </c>
    </row>
    <row r="6" spans="1:10" x14ac:dyDescent="0.3">
      <c r="A6" s="194"/>
      <c r="B6" s="197"/>
      <c r="C6" s="86" t="s">
        <v>9</v>
      </c>
      <c r="D6" s="87"/>
      <c r="E6" s="88"/>
      <c r="F6" s="88">
        <f t="shared" si="0"/>
        <v>0</v>
      </c>
      <c r="G6" s="198"/>
      <c r="H6" s="198"/>
      <c r="I6" s="200"/>
      <c r="J6" s="282"/>
    </row>
    <row r="7" spans="1:10" x14ac:dyDescent="0.3">
      <c r="A7" s="194" t="s">
        <v>15</v>
      </c>
      <c r="B7" s="227">
        <v>45750</v>
      </c>
      <c r="C7" s="61" t="s">
        <v>8</v>
      </c>
      <c r="D7" s="22">
        <v>479194</v>
      </c>
      <c r="E7" s="2">
        <f>8000+182178+33250+16000+26400+10000</f>
        <v>275828</v>
      </c>
      <c r="F7" s="2">
        <f t="shared" si="0"/>
        <v>203366</v>
      </c>
      <c r="G7" s="198">
        <f>D7+D8</f>
        <v>1022949</v>
      </c>
      <c r="H7" s="198">
        <f>E7+E8</f>
        <v>550898</v>
      </c>
      <c r="I7" s="200">
        <f>G7-H7</f>
        <v>472051</v>
      </c>
    </row>
    <row r="8" spans="1:10" x14ac:dyDescent="0.3">
      <c r="A8" s="194"/>
      <c r="B8" s="197"/>
      <c r="C8" s="61" t="s">
        <v>9</v>
      </c>
      <c r="D8" s="22">
        <v>543755</v>
      </c>
      <c r="E8" s="2">
        <f>52870+126200+28000+68000</f>
        <v>275070</v>
      </c>
      <c r="F8" s="2">
        <f t="shared" si="0"/>
        <v>268685</v>
      </c>
      <c r="G8" s="198"/>
      <c r="H8" s="198"/>
      <c r="I8" s="200"/>
    </row>
    <row r="9" spans="1:10" x14ac:dyDescent="0.3">
      <c r="A9" s="234" t="s">
        <v>16</v>
      </c>
      <c r="B9" s="227">
        <v>45751</v>
      </c>
      <c r="C9" s="67" t="s">
        <v>8</v>
      </c>
      <c r="D9" s="22">
        <v>687395</v>
      </c>
      <c r="E9" s="69">
        <f>56375+8000+17400+117000+36250</f>
        <v>235025</v>
      </c>
      <c r="F9" s="69">
        <f t="shared" si="0"/>
        <v>452370</v>
      </c>
      <c r="G9" s="236">
        <f>D9+D10</f>
        <v>1288990</v>
      </c>
      <c r="H9" s="236">
        <f>E9+E10</f>
        <v>621858</v>
      </c>
      <c r="I9" s="238">
        <f>G9-H9</f>
        <v>667132</v>
      </c>
    </row>
    <row r="10" spans="1:10" ht="15" thickBot="1" x14ac:dyDescent="0.35">
      <c r="A10" s="235"/>
      <c r="B10" s="197"/>
      <c r="C10" s="81" t="s">
        <v>9</v>
      </c>
      <c r="D10" s="29">
        <v>601595</v>
      </c>
      <c r="E10" s="82">
        <f>386833</f>
        <v>386833</v>
      </c>
      <c r="F10" s="82">
        <f t="shared" si="0"/>
        <v>214762</v>
      </c>
      <c r="G10" s="237"/>
      <c r="H10" s="237"/>
      <c r="I10" s="239"/>
    </row>
    <row r="11" spans="1:10" x14ac:dyDescent="0.3">
      <c r="A11" s="250" t="s">
        <v>13</v>
      </c>
      <c r="B11" s="252">
        <v>45752</v>
      </c>
      <c r="C11" s="83" t="s">
        <v>8</v>
      </c>
      <c r="D11" s="33">
        <v>278441</v>
      </c>
      <c r="E11" s="31">
        <f>4000+40000</f>
        <v>44000</v>
      </c>
      <c r="F11" s="31">
        <f>D11-E11</f>
        <v>234441</v>
      </c>
      <c r="G11" s="230">
        <f>D11+D12</f>
        <v>644321</v>
      </c>
      <c r="H11" s="230">
        <f>E11+E12</f>
        <v>88000</v>
      </c>
      <c r="I11" s="232">
        <f>G11-H11</f>
        <v>556321</v>
      </c>
    </row>
    <row r="12" spans="1:10" ht="15" thickBot="1" x14ac:dyDescent="0.35">
      <c r="A12" s="251"/>
      <c r="B12" s="253"/>
      <c r="C12" s="84" t="s">
        <v>9</v>
      </c>
      <c r="D12" s="34">
        <v>365880</v>
      </c>
      <c r="E12" s="32">
        <f>36000+8000</f>
        <v>44000</v>
      </c>
      <c r="F12" s="32">
        <f>D12-E12</f>
        <v>321880</v>
      </c>
      <c r="G12" s="231"/>
      <c r="H12" s="231"/>
      <c r="I12" s="233"/>
    </row>
    <row r="13" spans="1:10" x14ac:dyDescent="0.3">
      <c r="A13" s="219" t="s">
        <v>17</v>
      </c>
      <c r="B13" s="196">
        <v>45754</v>
      </c>
      <c r="C13" s="60" t="s">
        <v>8</v>
      </c>
      <c r="D13" s="23">
        <v>482128</v>
      </c>
      <c r="E13" s="3">
        <f>17400+127000+56375+33250+8000</f>
        <v>242025</v>
      </c>
      <c r="F13" s="3">
        <f>D13-E13</f>
        <v>240103</v>
      </c>
      <c r="G13" s="220">
        <f>D13+D14</f>
        <v>1051053</v>
      </c>
      <c r="H13" s="220">
        <f>E13+E14</f>
        <v>475098</v>
      </c>
      <c r="I13" s="221">
        <f>G13-H13</f>
        <v>575955</v>
      </c>
    </row>
    <row r="14" spans="1:10" ht="15" thickBot="1" x14ac:dyDescent="0.35">
      <c r="A14" s="194"/>
      <c r="B14" s="197"/>
      <c r="C14" s="61" t="s">
        <v>9</v>
      </c>
      <c r="D14" s="22">
        <v>568925</v>
      </c>
      <c r="E14" s="2">
        <f>233073</f>
        <v>233073</v>
      </c>
      <c r="F14" s="2">
        <f>D14-E14</f>
        <v>335852</v>
      </c>
      <c r="G14" s="198"/>
      <c r="H14" s="198"/>
      <c r="I14" s="200"/>
    </row>
    <row r="15" spans="1:10" x14ac:dyDescent="0.3">
      <c r="A15" s="194" t="s">
        <v>18</v>
      </c>
      <c r="B15" s="196">
        <v>45755</v>
      </c>
      <c r="C15" s="61" t="s">
        <v>8</v>
      </c>
      <c r="D15" s="22">
        <v>450898</v>
      </c>
      <c r="E15" s="2">
        <f>341192</f>
        <v>341192</v>
      </c>
      <c r="F15" s="2">
        <f t="shared" ref="F15:F50" si="1">D15-E15</f>
        <v>109706</v>
      </c>
      <c r="G15" s="198">
        <f>D15+D16</f>
        <v>1046010</v>
      </c>
      <c r="H15" s="198">
        <f>E15+E16</f>
        <v>704948</v>
      </c>
      <c r="I15" s="200">
        <f>G15-H15</f>
        <v>341062</v>
      </c>
    </row>
    <row r="16" spans="1:10" ht="15" thickBot="1" x14ac:dyDescent="0.35">
      <c r="A16" s="194"/>
      <c r="B16" s="197"/>
      <c r="C16" s="61" t="s">
        <v>9</v>
      </c>
      <c r="D16" s="22">
        <v>595112</v>
      </c>
      <c r="E16" s="2">
        <f>8000+56050+26400+43306+75000+25000+130000</f>
        <v>363756</v>
      </c>
      <c r="F16" s="2">
        <f t="shared" si="1"/>
        <v>231356</v>
      </c>
      <c r="G16" s="198"/>
      <c r="H16" s="198"/>
      <c r="I16" s="200"/>
    </row>
    <row r="17" spans="1:14" x14ac:dyDescent="0.3">
      <c r="A17" s="194" t="s">
        <v>19</v>
      </c>
      <c r="B17" s="196">
        <v>45756</v>
      </c>
      <c r="C17" s="61" t="s">
        <v>8</v>
      </c>
      <c r="D17" s="2">
        <v>445865</v>
      </c>
      <c r="E17" s="2">
        <f>8000+33250+115500+32000+27000+74425+71841+16200+12300+15900+44000+10000</f>
        <v>460416</v>
      </c>
      <c r="F17" s="2">
        <f t="shared" si="1"/>
        <v>-14551</v>
      </c>
      <c r="G17" s="198">
        <f>D17+D18</f>
        <v>1067691</v>
      </c>
      <c r="H17" s="198">
        <f>E17+E18</f>
        <v>990416</v>
      </c>
      <c r="I17" s="200">
        <f>G17-H17</f>
        <v>77275</v>
      </c>
      <c r="J17" s="248" t="s">
        <v>42</v>
      </c>
    </row>
    <row r="18" spans="1:14" ht="15" thickBot="1" x14ac:dyDescent="0.35">
      <c r="A18" s="194"/>
      <c r="B18" s="197"/>
      <c r="C18" s="61" t="s">
        <v>9</v>
      </c>
      <c r="D18" s="2">
        <v>621826</v>
      </c>
      <c r="E18" s="2">
        <f>530000</f>
        <v>530000</v>
      </c>
      <c r="F18" s="2">
        <f t="shared" si="1"/>
        <v>91826</v>
      </c>
      <c r="G18" s="198"/>
      <c r="H18" s="198"/>
      <c r="I18" s="200"/>
      <c r="J18" s="249"/>
    </row>
    <row r="19" spans="1:14" x14ac:dyDescent="0.3">
      <c r="A19" s="194" t="s">
        <v>15</v>
      </c>
      <c r="B19" s="196">
        <v>45757</v>
      </c>
      <c r="C19" s="61" t="s">
        <v>8</v>
      </c>
      <c r="D19" s="22">
        <v>419087</v>
      </c>
      <c r="E19" s="2">
        <f>17400+8000+26400+33250+44000+10000</f>
        <v>139050</v>
      </c>
      <c r="F19" s="2">
        <f t="shared" si="1"/>
        <v>280037</v>
      </c>
      <c r="G19" s="198">
        <f>D19+D20</f>
        <v>867588</v>
      </c>
      <c r="H19" s="198">
        <f>E19+E20</f>
        <v>333850</v>
      </c>
      <c r="I19" s="200">
        <f>G19-H19</f>
        <v>533738</v>
      </c>
      <c r="J19" s="281" t="s">
        <v>54</v>
      </c>
    </row>
    <row r="20" spans="1:14" ht="15" thickBot="1" x14ac:dyDescent="0.35">
      <c r="A20" s="194"/>
      <c r="B20" s="197"/>
      <c r="C20" s="61" t="s">
        <v>9</v>
      </c>
      <c r="D20" s="22">
        <v>448501</v>
      </c>
      <c r="E20" s="2">
        <f>130000+64800</f>
        <v>194800</v>
      </c>
      <c r="F20" s="2">
        <f t="shared" si="1"/>
        <v>253701</v>
      </c>
      <c r="G20" s="198"/>
      <c r="H20" s="198"/>
      <c r="I20" s="200"/>
      <c r="J20" s="282"/>
    </row>
    <row r="21" spans="1:14" x14ac:dyDescent="0.3">
      <c r="A21" s="194" t="s">
        <v>16</v>
      </c>
      <c r="B21" s="196">
        <v>45758</v>
      </c>
      <c r="C21" s="61" t="s">
        <v>8</v>
      </c>
      <c r="D21" s="22">
        <v>536048</v>
      </c>
      <c r="E21" s="2">
        <f>8000+63650+10500+58479+127000+35000+42000</f>
        <v>344629</v>
      </c>
      <c r="F21" s="2">
        <f t="shared" si="1"/>
        <v>191419</v>
      </c>
      <c r="G21" s="198">
        <f>D21+D22</f>
        <v>1147901</v>
      </c>
      <c r="H21" s="198">
        <f>E21+E22</f>
        <v>687466</v>
      </c>
      <c r="I21" s="200">
        <f>G21-H21</f>
        <v>460435</v>
      </c>
    </row>
    <row r="22" spans="1:14" ht="15" thickBot="1" x14ac:dyDescent="0.35">
      <c r="A22" s="195"/>
      <c r="B22" s="197"/>
      <c r="C22" s="79" t="s">
        <v>9</v>
      </c>
      <c r="D22" s="29">
        <v>611853</v>
      </c>
      <c r="E22" s="6">
        <f>342837</f>
        <v>342837</v>
      </c>
      <c r="F22" s="6">
        <f t="shared" si="1"/>
        <v>269016</v>
      </c>
      <c r="G22" s="199"/>
      <c r="H22" s="199"/>
      <c r="I22" s="201"/>
    </row>
    <row r="23" spans="1:14" x14ac:dyDescent="0.3">
      <c r="A23" s="202" t="s">
        <v>13</v>
      </c>
      <c r="B23" s="204">
        <v>45759</v>
      </c>
      <c r="C23" s="77" t="s">
        <v>8</v>
      </c>
      <c r="D23" s="35">
        <v>337648</v>
      </c>
      <c r="E23" s="36">
        <f>4000+13300+33250</f>
        <v>50550</v>
      </c>
      <c r="F23" s="36">
        <f t="shared" si="1"/>
        <v>287098</v>
      </c>
      <c r="G23" s="206">
        <f>D23+D24</f>
        <v>715397</v>
      </c>
      <c r="H23" s="206">
        <f>E23+E24</f>
        <v>425355</v>
      </c>
      <c r="I23" s="208">
        <f>G23-H23</f>
        <v>290042</v>
      </c>
    </row>
    <row r="24" spans="1:14" ht="15" thickBot="1" x14ac:dyDescent="0.35">
      <c r="A24" s="203"/>
      <c r="B24" s="205"/>
      <c r="C24" s="78" t="s">
        <v>35</v>
      </c>
      <c r="D24" s="37">
        <v>377749</v>
      </c>
      <c r="E24" s="38">
        <v>374805</v>
      </c>
      <c r="F24" s="38">
        <f t="shared" si="1"/>
        <v>2944</v>
      </c>
      <c r="G24" s="207"/>
      <c r="H24" s="207"/>
      <c r="I24" s="209"/>
    </row>
    <row r="25" spans="1:14" s="1" customFormat="1" ht="14.25" customHeight="1" x14ac:dyDescent="0.3">
      <c r="A25" s="219" t="s">
        <v>17</v>
      </c>
      <c r="B25" s="196">
        <v>45761</v>
      </c>
      <c r="C25" s="60" t="s">
        <v>8</v>
      </c>
      <c r="D25" s="23">
        <v>456653</v>
      </c>
      <c r="E25" s="3">
        <f>8000+17400+16000+33250+128700+56676+269666</f>
        <v>529692</v>
      </c>
      <c r="F25" s="3">
        <f t="shared" si="1"/>
        <v>-73039</v>
      </c>
      <c r="G25" s="220">
        <f>D25+D26</f>
        <v>1088458</v>
      </c>
      <c r="H25" s="220">
        <f>E25+E26</f>
        <v>844927</v>
      </c>
      <c r="I25" s="221">
        <f>G25-H25</f>
        <v>243531</v>
      </c>
      <c r="J25"/>
      <c r="K25"/>
      <c r="L25"/>
      <c r="M25"/>
      <c r="N25"/>
    </row>
    <row r="26" spans="1:14" s="1" customFormat="1" ht="15" thickBot="1" x14ac:dyDescent="0.35">
      <c r="A26" s="194"/>
      <c r="B26" s="197"/>
      <c r="C26" s="61" t="s">
        <v>9</v>
      </c>
      <c r="D26" s="22">
        <v>631805</v>
      </c>
      <c r="E26" s="2">
        <f>203830+111405</f>
        <v>315235</v>
      </c>
      <c r="F26" s="2">
        <f t="shared" si="1"/>
        <v>316570</v>
      </c>
      <c r="G26" s="198"/>
      <c r="H26" s="198"/>
      <c r="I26" s="200"/>
      <c r="J26"/>
      <c r="K26"/>
      <c r="L26"/>
      <c r="M26"/>
      <c r="N26"/>
    </row>
    <row r="27" spans="1:14" s="1" customFormat="1" x14ac:dyDescent="0.3">
      <c r="A27" s="194" t="s">
        <v>18</v>
      </c>
      <c r="B27" s="196">
        <v>45762</v>
      </c>
      <c r="C27" s="61" t="s">
        <v>8</v>
      </c>
      <c r="D27" s="22">
        <v>521316</v>
      </c>
      <c r="E27" s="2">
        <f>8000+12750+63650+373466</f>
        <v>457866</v>
      </c>
      <c r="F27" s="2">
        <f t="shared" si="1"/>
        <v>63450</v>
      </c>
      <c r="G27" s="198">
        <f>D27+D28</f>
        <v>1130568</v>
      </c>
      <c r="H27" s="198">
        <f>E27+E28</f>
        <v>669331</v>
      </c>
      <c r="I27" s="200">
        <f>G27-H27</f>
        <v>461237</v>
      </c>
      <c r="J27"/>
      <c r="K27"/>
      <c r="L27"/>
      <c r="M27"/>
      <c r="N27"/>
    </row>
    <row r="28" spans="1:14" s="1" customFormat="1" ht="15" thickBot="1" x14ac:dyDescent="0.35">
      <c r="A28" s="194"/>
      <c r="B28" s="197"/>
      <c r="C28" s="61" t="s">
        <v>9</v>
      </c>
      <c r="D28" s="22">
        <v>609252</v>
      </c>
      <c r="E28" s="2">
        <f>43000+56675+68590+26400+6000+10800</f>
        <v>211465</v>
      </c>
      <c r="F28" s="2">
        <f t="shared" si="1"/>
        <v>397787</v>
      </c>
      <c r="G28" s="198"/>
      <c r="H28" s="198"/>
      <c r="I28" s="200"/>
      <c r="J28"/>
      <c r="K28"/>
      <c r="L28"/>
    </row>
    <row r="29" spans="1:14" s="1" customFormat="1" ht="14.25" customHeight="1" x14ac:dyDescent="0.3">
      <c r="A29" s="194" t="s">
        <v>19</v>
      </c>
      <c r="B29" s="196">
        <v>45763</v>
      </c>
      <c r="C29" s="66" t="s">
        <v>8</v>
      </c>
      <c r="D29" s="44">
        <v>548931</v>
      </c>
      <c r="E29" s="45">
        <f>16000+8540+128700+144865</f>
        <v>298105</v>
      </c>
      <c r="F29" s="45">
        <f t="shared" si="1"/>
        <v>250826</v>
      </c>
      <c r="G29" s="211">
        <f>D29+D30</f>
        <v>1270109</v>
      </c>
      <c r="H29" s="211">
        <f>E29+E30</f>
        <v>602040</v>
      </c>
      <c r="I29" s="212">
        <f>G29-H29</f>
        <v>668069</v>
      </c>
      <c r="J29" s="210"/>
      <c r="K29"/>
      <c r="L29"/>
    </row>
    <row r="30" spans="1:14" s="1" customFormat="1" ht="15" thickBot="1" x14ac:dyDescent="0.35">
      <c r="A30" s="194"/>
      <c r="B30" s="197"/>
      <c r="C30" s="66" t="s">
        <v>9</v>
      </c>
      <c r="D30" s="44">
        <v>721178</v>
      </c>
      <c r="E30" s="45">
        <f>16000+127000+56675+33250+71010</f>
        <v>303935</v>
      </c>
      <c r="F30" s="45">
        <f t="shared" si="1"/>
        <v>417243</v>
      </c>
      <c r="G30" s="211"/>
      <c r="H30" s="211"/>
      <c r="I30" s="212"/>
      <c r="J30" s="210"/>
      <c r="K30"/>
      <c r="L30"/>
    </row>
    <row r="31" spans="1:14" s="1" customFormat="1" x14ac:dyDescent="0.3">
      <c r="A31" s="194" t="s">
        <v>15</v>
      </c>
      <c r="B31" s="196">
        <v>45764</v>
      </c>
      <c r="C31" s="61" t="s">
        <v>8</v>
      </c>
      <c r="D31" s="22">
        <v>299163</v>
      </c>
      <c r="E31" s="2">
        <f>47625+426500</f>
        <v>474125</v>
      </c>
      <c r="F31" s="2">
        <f t="shared" si="1"/>
        <v>-174962</v>
      </c>
      <c r="G31" s="198">
        <f>D31+D32</f>
        <v>751205</v>
      </c>
      <c r="H31" s="198">
        <f>E31+E32</f>
        <v>776925</v>
      </c>
      <c r="I31" s="200">
        <f>G31-H31</f>
        <v>-25720</v>
      </c>
      <c r="J31"/>
      <c r="K31"/>
      <c r="L31"/>
      <c r="M31"/>
      <c r="N31"/>
    </row>
    <row r="32" spans="1:14" s="1" customFormat="1" ht="15" thickBot="1" x14ac:dyDescent="0.35">
      <c r="A32" s="194"/>
      <c r="B32" s="197"/>
      <c r="C32" s="61" t="s">
        <v>9</v>
      </c>
      <c r="D32" s="22">
        <v>452042</v>
      </c>
      <c r="E32" s="2">
        <f>12200+60000+102000+39600+12000+20000+15000+42000</f>
        <v>302800</v>
      </c>
      <c r="F32" s="2">
        <f t="shared" si="1"/>
        <v>149242</v>
      </c>
      <c r="G32" s="198"/>
      <c r="H32" s="198"/>
      <c r="I32" s="200"/>
      <c r="J32"/>
      <c r="K32"/>
      <c r="L32"/>
      <c r="M32"/>
      <c r="N32"/>
    </row>
    <row r="33" spans="1:20" x14ac:dyDescent="0.3">
      <c r="A33" s="284" t="s">
        <v>16</v>
      </c>
      <c r="B33" s="286">
        <v>45765</v>
      </c>
      <c r="C33" s="89" t="s">
        <v>8</v>
      </c>
      <c r="D33" s="90"/>
      <c r="E33" s="91"/>
      <c r="F33" s="91">
        <f t="shared" si="1"/>
        <v>0</v>
      </c>
      <c r="G33" s="288">
        <f>D33+D34</f>
        <v>0</v>
      </c>
      <c r="H33" s="288">
        <f>E33+E34</f>
        <v>0</v>
      </c>
      <c r="I33" s="290">
        <f>G33-H33</f>
        <v>0</v>
      </c>
      <c r="J33" s="292" t="s">
        <v>55</v>
      </c>
    </row>
    <row r="34" spans="1:20" ht="15" thickBot="1" x14ac:dyDescent="0.35">
      <c r="A34" s="285"/>
      <c r="B34" s="287"/>
      <c r="C34" s="92" t="s">
        <v>9</v>
      </c>
      <c r="D34" s="93"/>
      <c r="E34" s="94"/>
      <c r="F34" s="94">
        <f t="shared" si="1"/>
        <v>0</v>
      </c>
      <c r="G34" s="289"/>
      <c r="H34" s="289"/>
      <c r="I34" s="291"/>
      <c r="J34" s="293"/>
    </row>
    <row r="35" spans="1:20" x14ac:dyDescent="0.3">
      <c r="A35" s="213" t="s">
        <v>13</v>
      </c>
      <c r="B35" s="252">
        <v>45766</v>
      </c>
      <c r="C35" s="63" t="s">
        <v>8</v>
      </c>
      <c r="D35" s="54">
        <v>308210</v>
      </c>
      <c r="E35" s="48">
        <f>35937+8000+127000</f>
        <v>170937</v>
      </c>
      <c r="F35" s="48">
        <f t="shared" si="1"/>
        <v>137273</v>
      </c>
      <c r="G35" s="217">
        <f>D35+D36</f>
        <v>648499</v>
      </c>
      <c r="H35" s="217">
        <f>E35+E36</f>
        <v>240937</v>
      </c>
      <c r="I35" s="217">
        <f>G35-H35</f>
        <v>407562</v>
      </c>
      <c r="J35" s="40"/>
      <c r="S35" s="85"/>
      <c r="T35" t="s">
        <v>52</v>
      </c>
    </row>
    <row r="36" spans="1:20" ht="15" thickBot="1" x14ac:dyDescent="0.35">
      <c r="A36" s="214"/>
      <c r="B36" s="279"/>
      <c r="C36" s="64" t="s">
        <v>35</v>
      </c>
      <c r="D36" s="55">
        <v>340289</v>
      </c>
      <c r="E36" s="49">
        <f>20000+50000</f>
        <v>70000</v>
      </c>
      <c r="F36" s="49">
        <f t="shared" si="1"/>
        <v>270289</v>
      </c>
      <c r="G36" s="218"/>
      <c r="H36" s="218"/>
      <c r="I36" s="218"/>
      <c r="J36" t="s">
        <v>43</v>
      </c>
      <c r="S36" s="43"/>
      <c r="T36" t="s">
        <v>41</v>
      </c>
    </row>
    <row r="37" spans="1:20" s="1" customFormat="1" x14ac:dyDescent="0.3">
      <c r="A37" s="194" t="s">
        <v>17</v>
      </c>
      <c r="B37" s="196">
        <v>45768</v>
      </c>
      <c r="C37" s="61" t="s">
        <v>8</v>
      </c>
      <c r="D37" s="22">
        <v>360373</v>
      </c>
      <c r="E37" s="2">
        <f>8000+32200+113945+14100+33250+40000</f>
        <v>241495</v>
      </c>
      <c r="F37" s="2">
        <f>D37-E37</f>
        <v>118878</v>
      </c>
      <c r="G37" s="198">
        <f>D37+D38</f>
        <v>906495</v>
      </c>
      <c r="H37" s="198">
        <f>E37+E38</f>
        <v>650981</v>
      </c>
      <c r="I37" s="200">
        <f>G37-H37</f>
        <v>255514</v>
      </c>
      <c r="J37"/>
      <c r="K37"/>
      <c r="L37"/>
      <c r="M37"/>
      <c r="N37"/>
      <c r="O37"/>
      <c r="P37"/>
    </row>
    <row r="38" spans="1:20" s="1" customFormat="1" ht="15" thickBot="1" x14ac:dyDescent="0.35">
      <c r="A38" s="194"/>
      <c r="B38" s="197"/>
      <c r="C38" s="61" t="s">
        <v>9</v>
      </c>
      <c r="D38" s="22">
        <v>546122</v>
      </c>
      <c r="E38" s="2">
        <f>409486</f>
        <v>409486</v>
      </c>
      <c r="F38" s="2">
        <f>D38-E38</f>
        <v>136636</v>
      </c>
      <c r="G38" s="198"/>
      <c r="H38" s="198"/>
      <c r="I38" s="200"/>
      <c r="J38"/>
      <c r="K38"/>
      <c r="L38"/>
      <c r="M38"/>
      <c r="N38"/>
      <c r="O38"/>
      <c r="P38"/>
    </row>
    <row r="39" spans="1:20" s="1" customFormat="1" x14ac:dyDescent="0.3">
      <c r="A39" s="194" t="s">
        <v>18</v>
      </c>
      <c r="B39" s="196">
        <v>45769</v>
      </c>
      <c r="C39" s="61" t="s">
        <v>8</v>
      </c>
      <c r="D39" s="22">
        <v>377919</v>
      </c>
      <c r="E39" s="2">
        <f>8000+18000+33250+413000+34000+29000+21000</f>
        <v>556250</v>
      </c>
      <c r="F39" s="2">
        <f t="shared" si="1"/>
        <v>-178331</v>
      </c>
      <c r="G39" s="198">
        <f>D39+D40</f>
        <v>854253</v>
      </c>
      <c r="H39" s="198">
        <f>E39+E40</f>
        <v>1297587</v>
      </c>
      <c r="I39" s="200">
        <f>G39-H39</f>
        <v>-443334</v>
      </c>
      <c r="J39"/>
      <c r="K39"/>
      <c r="L39"/>
      <c r="M39"/>
      <c r="N39"/>
      <c r="O39"/>
      <c r="P39"/>
    </row>
    <row r="40" spans="1:20" s="1" customFormat="1" ht="15" thickBot="1" x14ac:dyDescent="0.35">
      <c r="A40" s="194"/>
      <c r="B40" s="197"/>
      <c r="C40" s="61" t="s">
        <v>9</v>
      </c>
      <c r="D40" s="22">
        <v>476334</v>
      </c>
      <c r="E40" s="2">
        <f>450000+3400+65800+65800+56977+99360</f>
        <v>741337</v>
      </c>
      <c r="F40" s="2">
        <f t="shared" si="1"/>
        <v>-265003</v>
      </c>
      <c r="G40" s="198"/>
      <c r="H40" s="198"/>
      <c r="I40" s="200"/>
      <c r="J40"/>
      <c r="K40"/>
      <c r="L40"/>
      <c r="M40"/>
      <c r="N40"/>
      <c r="O40"/>
      <c r="P40"/>
    </row>
    <row r="41" spans="1:20" s="1" customFormat="1" ht="14.25" customHeight="1" x14ac:dyDescent="0.3">
      <c r="A41" s="194" t="s">
        <v>19</v>
      </c>
      <c r="B41" s="196">
        <v>45770</v>
      </c>
      <c r="C41" s="66" t="s">
        <v>8</v>
      </c>
      <c r="D41" s="44">
        <v>437888</v>
      </c>
      <c r="E41" s="45">
        <f>375998+67000</f>
        <v>442998</v>
      </c>
      <c r="F41" s="45">
        <f t="shared" si="1"/>
        <v>-5110</v>
      </c>
      <c r="G41" s="211">
        <f>D41+D42</f>
        <v>840289</v>
      </c>
      <c r="H41" s="211">
        <f>E41+E42</f>
        <v>619248</v>
      </c>
      <c r="I41" s="212">
        <f>G41-H41</f>
        <v>221041</v>
      </c>
      <c r="J41" s="210"/>
      <c r="K41"/>
      <c r="L41"/>
      <c r="O41"/>
      <c r="P41"/>
    </row>
    <row r="42" spans="1:20" s="1" customFormat="1" ht="15" thickBot="1" x14ac:dyDescent="0.35">
      <c r="A42" s="194"/>
      <c r="B42" s="197"/>
      <c r="C42" s="66" t="s">
        <v>9</v>
      </c>
      <c r="D42" s="44">
        <v>402401</v>
      </c>
      <c r="E42" s="45">
        <f>15550+8000+126300+26400</f>
        <v>176250</v>
      </c>
      <c r="F42" s="45">
        <f t="shared" si="1"/>
        <v>226151</v>
      </c>
      <c r="G42" s="211"/>
      <c r="H42" s="211"/>
      <c r="I42" s="212"/>
      <c r="J42" s="210"/>
      <c r="K42"/>
      <c r="L42"/>
      <c r="O42"/>
      <c r="P42"/>
    </row>
    <row r="43" spans="1:20" s="1" customFormat="1" x14ac:dyDescent="0.3">
      <c r="A43" s="194" t="s">
        <v>15</v>
      </c>
      <c r="B43" s="196">
        <v>45771</v>
      </c>
      <c r="C43" s="61" t="s">
        <v>8</v>
      </c>
      <c r="D43" s="22">
        <v>445847</v>
      </c>
      <c r="E43" s="2">
        <f>8000+58190+35000+49549+40000</f>
        <v>190739</v>
      </c>
      <c r="F43" s="2">
        <f t="shared" si="1"/>
        <v>255108</v>
      </c>
      <c r="G43" s="198">
        <f>D43+D44</f>
        <v>1112594</v>
      </c>
      <c r="H43" s="198">
        <f>E43+E44</f>
        <v>335410</v>
      </c>
      <c r="I43" s="200">
        <f>G43-H43</f>
        <v>777184</v>
      </c>
      <c r="J43"/>
      <c r="K43"/>
      <c r="L43"/>
      <c r="O43"/>
      <c r="P43"/>
    </row>
    <row r="44" spans="1:20" s="1" customFormat="1" ht="15" thickBot="1" x14ac:dyDescent="0.35">
      <c r="A44" s="194"/>
      <c r="B44" s="197"/>
      <c r="C44" s="61" t="s">
        <v>9</v>
      </c>
      <c r="D44" s="22">
        <v>666747</v>
      </c>
      <c r="E44" s="2">
        <f>144671</f>
        <v>144671</v>
      </c>
      <c r="F44" s="2">
        <f t="shared" si="1"/>
        <v>522076</v>
      </c>
      <c r="G44" s="198"/>
      <c r="H44" s="198"/>
      <c r="I44" s="200"/>
      <c r="J44"/>
      <c r="K44"/>
      <c r="L44"/>
      <c r="M44"/>
      <c r="N44"/>
      <c r="O44"/>
      <c r="P44"/>
    </row>
    <row r="45" spans="1:20" x14ac:dyDescent="0.3">
      <c r="A45" s="194" t="s">
        <v>16</v>
      </c>
      <c r="B45" s="196">
        <v>45772</v>
      </c>
      <c r="C45" s="61" t="s">
        <v>8</v>
      </c>
      <c r="D45" s="22">
        <v>621665</v>
      </c>
      <c r="E45" s="2">
        <f>467684</f>
        <v>467684</v>
      </c>
      <c r="F45" s="2">
        <f t="shared" si="1"/>
        <v>153981</v>
      </c>
      <c r="G45" s="198">
        <f>D45+D46</f>
        <v>1311927</v>
      </c>
      <c r="H45" s="198">
        <f>E45+E46</f>
        <v>726210</v>
      </c>
      <c r="I45" s="200">
        <f>G45-H45</f>
        <v>585717</v>
      </c>
    </row>
    <row r="46" spans="1:20" ht="15" thickBot="1" x14ac:dyDescent="0.35">
      <c r="A46" s="222"/>
      <c r="B46" s="197"/>
      <c r="C46" s="62" t="s">
        <v>9</v>
      </c>
      <c r="D46" s="27">
        <v>690262</v>
      </c>
      <c r="E46" s="10">
        <f>22200+43000+8000+17100+79443+11783+37000+20000+10000+10000</f>
        <v>258526</v>
      </c>
      <c r="F46" s="10">
        <f t="shared" si="1"/>
        <v>431736</v>
      </c>
      <c r="G46" s="223"/>
      <c r="H46" s="223"/>
      <c r="I46" s="225"/>
    </row>
    <row r="47" spans="1:20" x14ac:dyDescent="0.3">
      <c r="A47" s="202" t="s">
        <v>13</v>
      </c>
      <c r="B47" s="204">
        <v>45773</v>
      </c>
      <c r="C47" s="77" t="s">
        <v>8</v>
      </c>
      <c r="D47" s="35">
        <v>438608</v>
      </c>
      <c r="E47" s="36">
        <f>8000+73000+42000</f>
        <v>123000</v>
      </c>
      <c r="F47" s="36">
        <f t="shared" si="1"/>
        <v>315608</v>
      </c>
      <c r="G47" s="206">
        <f>D47+D48</f>
        <v>793301</v>
      </c>
      <c r="H47" s="206">
        <f>E47+E48</f>
        <v>548682</v>
      </c>
      <c r="I47" s="208">
        <f>G47-H47</f>
        <v>244619</v>
      </c>
      <c r="M47" s="13" t="s">
        <v>2</v>
      </c>
      <c r="N47" s="12">
        <v>1</v>
      </c>
    </row>
    <row r="48" spans="1:20" ht="15" thickBot="1" x14ac:dyDescent="0.35">
      <c r="A48" s="203"/>
      <c r="B48" s="205"/>
      <c r="C48" s="78" t="s">
        <v>9</v>
      </c>
      <c r="D48" s="37">
        <v>354693</v>
      </c>
      <c r="E48" s="38">
        <f>425682</f>
        <v>425682</v>
      </c>
      <c r="F48" s="38">
        <f t="shared" si="1"/>
        <v>-70989</v>
      </c>
      <c r="G48" s="207"/>
      <c r="H48" s="207"/>
      <c r="I48" s="209"/>
      <c r="M48" s="14" t="s">
        <v>11</v>
      </c>
      <c r="N48" s="17">
        <f>H55*100/G55/100</f>
        <v>0.62160989510850428</v>
      </c>
    </row>
    <row r="49" spans="1:17" x14ac:dyDescent="0.3">
      <c r="A49" s="226" t="s">
        <v>17</v>
      </c>
      <c r="B49" s="227">
        <v>45775</v>
      </c>
      <c r="C49" s="76" t="s">
        <v>8</v>
      </c>
      <c r="D49" s="30">
        <v>345126</v>
      </c>
      <c r="E49" s="11">
        <f>8000+312081</f>
        <v>320081</v>
      </c>
      <c r="F49" s="11">
        <f t="shared" si="1"/>
        <v>25045</v>
      </c>
      <c r="G49" s="224">
        <f>D49+D50</f>
        <v>892438</v>
      </c>
      <c r="H49" s="224">
        <f>E49+E50</f>
        <v>560457</v>
      </c>
      <c r="I49" s="228">
        <f>G49-H49</f>
        <v>331981</v>
      </c>
      <c r="M49" s="15" t="s">
        <v>3</v>
      </c>
      <c r="N49" s="16">
        <f>(100%-N48)</f>
        <v>0.37839010489149572</v>
      </c>
    </row>
    <row r="50" spans="1:17" ht="15" thickBot="1" x14ac:dyDescent="0.35">
      <c r="A50" s="222"/>
      <c r="B50" s="197"/>
      <c r="C50" s="62" t="s">
        <v>9</v>
      </c>
      <c r="D50" s="27">
        <v>547312</v>
      </c>
      <c r="E50" s="10">
        <f>56976+126200+22200+35000</f>
        <v>240376</v>
      </c>
      <c r="F50" s="10">
        <f t="shared" si="1"/>
        <v>306936</v>
      </c>
      <c r="G50" s="223"/>
      <c r="H50" s="223"/>
      <c r="I50" s="225"/>
    </row>
    <row r="51" spans="1:17" x14ac:dyDescent="0.3">
      <c r="A51" s="226" t="s">
        <v>18</v>
      </c>
      <c r="B51" s="227">
        <v>45776</v>
      </c>
      <c r="C51" s="76" t="s">
        <v>8</v>
      </c>
      <c r="D51" s="30">
        <v>472977</v>
      </c>
      <c r="E51" s="11">
        <f>8000+18450+83500</f>
        <v>109950</v>
      </c>
      <c r="F51" s="11">
        <f>D51-E51</f>
        <v>363027</v>
      </c>
      <c r="G51" s="224">
        <f>D51+D52</f>
        <v>1047672</v>
      </c>
      <c r="H51" s="224">
        <f>E51+E52</f>
        <v>236250</v>
      </c>
      <c r="I51" s="228">
        <f>G51-H51</f>
        <v>811422</v>
      </c>
    </row>
    <row r="52" spans="1:17" ht="15" thickBot="1" x14ac:dyDescent="0.35">
      <c r="A52" s="222"/>
      <c r="B52" s="197"/>
      <c r="C52" s="62" t="s">
        <v>9</v>
      </c>
      <c r="D52" s="27">
        <v>574695</v>
      </c>
      <c r="E52" s="10">
        <f>126300</f>
        <v>126300</v>
      </c>
      <c r="F52" s="10">
        <f>D52-E52</f>
        <v>448395</v>
      </c>
      <c r="G52" s="223"/>
      <c r="H52" s="223"/>
      <c r="I52" s="225"/>
    </row>
    <row r="53" spans="1:17" x14ac:dyDescent="0.3">
      <c r="A53" s="226" t="s">
        <v>14</v>
      </c>
      <c r="B53" s="227">
        <v>45777</v>
      </c>
      <c r="C53" s="76" t="s">
        <v>8</v>
      </c>
      <c r="D53" s="30">
        <v>615165</v>
      </c>
      <c r="E53" s="11">
        <f>8000+26400+11300+87798+69780+77646+26500+95000</f>
        <v>402424</v>
      </c>
      <c r="F53" s="11">
        <f>D53-E53</f>
        <v>212741</v>
      </c>
      <c r="G53" s="224">
        <f>D53+D54</f>
        <v>1182965</v>
      </c>
      <c r="H53" s="224">
        <f>E53+E54</f>
        <v>848353</v>
      </c>
      <c r="I53" s="228">
        <f>G53-H53</f>
        <v>334612</v>
      </c>
    </row>
    <row r="54" spans="1:17" ht="15" thickBot="1" x14ac:dyDescent="0.35">
      <c r="A54" s="222"/>
      <c r="B54" s="197"/>
      <c r="C54" s="62" t="s">
        <v>9</v>
      </c>
      <c r="D54" s="27">
        <v>567800</v>
      </c>
      <c r="E54" s="10">
        <f>355929+90000</f>
        <v>445929</v>
      </c>
      <c r="F54" s="10">
        <f>D54-E54</f>
        <v>121871</v>
      </c>
      <c r="G54" s="223"/>
      <c r="H54" s="223"/>
      <c r="I54" s="225"/>
    </row>
    <row r="55" spans="1:17" s="1" customFormat="1" ht="15" thickBot="1" x14ac:dyDescent="0.35">
      <c r="A55"/>
      <c r="B55" s="277" t="s">
        <v>10</v>
      </c>
      <c r="C55" s="278"/>
      <c r="D55" s="50">
        <f t="shared" ref="D55:I55" si="2">SUM(D3:D54)</f>
        <v>24103384</v>
      </c>
      <c r="E55" s="50">
        <f t="shared" si="2"/>
        <v>14982902</v>
      </c>
      <c r="F55" s="50">
        <f t="shared" si="2"/>
        <v>9120482</v>
      </c>
      <c r="G55" s="50">
        <f t="shared" si="2"/>
        <v>24103384</v>
      </c>
      <c r="H55" s="50">
        <f t="shared" si="2"/>
        <v>14982902</v>
      </c>
      <c r="I55" s="50">
        <f t="shared" si="2"/>
        <v>9120482</v>
      </c>
      <c r="J55"/>
      <c r="K55" s="39"/>
      <c r="L55"/>
      <c r="M55"/>
      <c r="N55"/>
    </row>
    <row r="56" spans="1:17" s="1" customFormat="1" x14ac:dyDescent="0.3">
      <c r="A56"/>
      <c r="J56"/>
      <c r="K56" s="39"/>
      <c r="L56"/>
      <c r="M56"/>
      <c r="N56"/>
    </row>
    <row r="57" spans="1:17" s="1" customFormat="1" x14ac:dyDescent="0.3">
      <c r="A57"/>
      <c r="J57"/>
      <c r="K57" s="39"/>
      <c r="L57"/>
      <c r="M57"/>
      <c r="N57"/>
    </row>
    <row r="58" spans="1:17" s="1" customFormat="1" x14ac:dyDescent="0.3">
      <c r="A58"/>
      <c r="J58"/>
      <c r="K58" s="39"/>
      <c r="L58"/>
      <c r="M58"/>
      <c r="N58"/>
    </row>
    <row r="59" spans="1:17" x14ac:dyDescent="0.3">
      <c r="K59" s="39"/>
    </row>
    <row r="60" spans="1:17" x14ac:dyDescent="0.3">
      <c r="D60" s="20" t="s">
        <v>21</v>
      </c>
      <c r="E60" s="2">
        <f>MAXA(G3:G32)</f>
        <v>1288990</v>
      </c>
      <c r="F60" s="283">
        <v>45751</v>
      </c>
      <c r="G60" s="187"/>
      <c r="K60" s="39"/>
    </row>
    <row r="61" spans="1:17" x14ac:dyDescent="0.3">
      <c r="D61" s="21" t="s">
        <v>22</v>
      </c>
      <c r="E61" s="2">
        <f>IF(MINA(D3:D40)&lt;&gt;0, MINA(D3:D40))</f>
        <v>195882</v>
      </c>
      <c r="F61" s="283">
        <v>45749</v>
      </c>
      <c r="G61" s="187"/>
      <c r="K61" s="39"/>
    </row>
    <row r="62" spans="1:17" s="1" customFormat="1" x14ac:dyDescent="0.3">
      <c r="A62"/>
      <c r="C62" s="1" t="s">
        <v>20</v>
      </c>
      <c r="J62"/>
      <c r="K62"/>
      <c r="L62"/>
      <c r="M62"/>
      <c r="N62"/>
    </row>
    <row r="63" spans="1:17" x14ac:dyDescent="0.3">
      <c r="D63" s="192" t="s">
        <v>36</v>
      </c>
      <c r="E63" s="18">
        <f>AVERAGEA(G3:G12)</f>
        <v>875394.2</v>
      </c>
      <c r="F63" s="187" t="s">
        <v>23</v>
      </c>
      <c r="G63" s="187"/>
      <c r="I63" s="193" t="s">
        <v>37</v>
      </c>
      <c r="J63" s="18">
        <f>AVERAGEA(H3:H12)</f>
        <v>481686.2</v>
      </c>
      <c r="K63" s="187" t="s">
        <v>23</v>
      </c>
      <c r="L63" s="187"/>
      <c r="N63" s="188" t="s">
        <v>38</v>
      </c>
      <c r="O63" s="18">
        <f>AVERAGEA(I3:I12)</f>
        <v>393708</v>
      </c>
      <c r="P63" s="187" t="s">
        <v>23</v>
      </c>
      <c r="Q63" s="187"/>
    </row>
    <row r="64" spans="1:17" x14ac:dyDescent="0.3">
      <c r="D64" s="192"/>
      <c r="E64" s="18">
        <f>AVERAGEA(G13:G24)</f>
        <v>982606.66666666663</v>
      </c>
      <c r="F64" s="187" t="s">
        <v>24</v>
      </c>
      <c r="G64" s="187"/>
      <c r="I64" s="193"/>
      <c r="J64" s="18">
        <f>AVERAGEA(H13:H24)</f>
        <v>602855.5</v>
      </c>
      <c r="K64" s="187" t="s">
        <v>24</v>
      </c>
      <c r="L64" s="187"/>
      <c r="N64" s="188"/>
      <c r="O64" s="18">
        <f>AVERAGEA(I13:I24)</f>
        <v>379751.16666666669</v>
      </c>
      <c r="P64" s="187" t="s">
        <v>24</v>
      </c>
      <c r="Q64" s="187"/>
    </row>
    <row r="65" spans="1:17" x14ac:dyDescent="0.3">
      <c r="D65" s="192"/>
      <c r="E65" s="18">
        <f>AVERAGEA(G25:G36)</f>
        <v>814806.5</v>
      </c>
      <c r="F65" s="187" t="s">
        <v>25</v>
      </c>
      <c r="G65" s="187"/>
      <c r="I65" s="193"/>
      <c r="J65" s="18">
        <f>AVERAGEA(H25:H36)</f>
        <v>522360</v>
      </c>
      <c r="K65" s="187" t="s">
        <v>25</v>
      </c>
      <c r="L65" s="187"/>
      <c r="N65" s="188"/>
      <c r="O65" s="18">
        <f>AVERAGEA(I25:I36)</f>
        <v>292446.5</v>
      </c>
      <c r="P65" s="187" t="s">
        <v>25</v>
      </c>
      <c r="Q65" s="187"/>
    </row>
    <row r="66" spans="1:17" x14ac:dyDescent="0.3">
      <c r="D66" s="192"/>
      <c r="E66" s="18">
        <f>AVERAGEA(G37:G48)</f>
        <v>969809.83333333337</v>
      </c>
      <c r="F66" s="184" t="s">
        <v>26</v>
      </c>
      <c r="G66" s="185"/>
      <c r="I66" s="193"/>
      <c r="J66" s="18">
        <f>AVERAGEA(H37:H48)</f>
        <v>696353</v>
      </c>
      <c r="K66" s="184" t="s">
        <v>26</v>
      </c>
      <c r="L66" s="185"/>
      <c r="N66" s="188"/>
      <c r="O66" s="18">
        <f>AVERAGEA(I37:I48)</f>
        <v>273456.83333333331</v>
      </c>
      <c r="P66" s="184" t="s">
        <v>26</v>
      </c>
      <c r="Q66" s="185"/>
    </row>
    <row r="67" spans="1:17" x14ac:dyDescent="0.3">
      <c r="D67" s="192"/>
      <c r="E67" s="18">
        <f>AVERAGEA(G49:G54)</f>
        <v>1041025</v>
      </c>
      <c r="F67" s="184" t="s">
        <v>34</v>
      </c>
      <c r="G67" s="185"/>
      <c r="I67" s="193"/>
      <c r="J67" s="18">
        <f>AVERAGEA(H49:H54)</f>
        <v>548353.33333333337</v>
      </c>
      <c r="K67" s="184" t="s">
        <v>34</v>
      </c>
      <c r="L67" s="185"/>
      <c r="N67" s="188"/>
      <c r="O67" s="18">
        <f>AVERAGEA(I39:I46)</f>
        <v>285152</v>
      </c>
      <c r="P67" s="184" t="s">
        <v>34</v>
      </c>
      <c r="Q67" s="185"/>
    </row>
    <row r="68" spans="1:17" x14ac:dyDescent="0.3">
      <c r="D68" s="192"/>
      <c r="E68" s="28">
        <f>AVERAGEA(E63:E66)</f>
        <v>910654.3</v>
      </c>
      <c r="F68" s="186" t="s">
        <v>10</v>
      </c>
      <c r="G68" s="186"/>
      <c r="I68" s="193"/>
      <c r="J68" s="28">
        <f>AVERAGEA(J63:J66)</f>
        <v>575813.67500000005</v>
      </c>
      <c r="K68" s="186" t="s">
        <v>10</v>
      </c>
      <c r="L68" s="186"/>
      <c r="N68" s="189"/>
      <c r="O68" s="28">
        <f>AVERAGEA(O63:O66)</f>
        <v>334840.625</v>
      </c>
      <c r="P68" s="186" t="s">
        <v>10</v>
      </c>
      <c r="Q68" s="186"/>
    </row>
    <row r="70" spans="1:17" x14ac:dyDescent="0.3">
      <c r="D70"/>
      <c r="E70"/>
      <c r="F70"/>
      <c r="G70"/>
      <c r="H70"/>
      <c r="I70"/>
    </row>
    <row r="71" spans="1:17" s="1" customFormat="1" x14ac:dyDescent="0.3">
      <c r="A71"/>
      <c r="D71"/>
      <c r="E71"/>
      <c r="F71"/>
      <c r="G71"/>
      <c r="H71"/>
      <c r="I71"/>
      <c r="J71"/>
      <c r="K71"/>
      <c r="L71"/>
      <c r="M71"/>
      <c r="N71"/>
    </row>
    <row r="72" spans="1:17" x14ac:dyDescent="0.3">
      <c r="D72"/>
      <c r="E72"/>
      <c r="F72"/>
      <c r="G72"/>
      <c r="H72"/>
      <c r="I72"/>
    </row>
    <row r="73" spans="1:17" ht="27" customHeight="1" x14ac:dyDescent="0.3">
      <c r="D73"/>
      <c r="E73"/>
      <c r="F73"/>
      <c r="G73"/>
      <c r="H73"/>
      <c r="I73"/>
    </row>
    <row r="74" spans="1:17" x14ac:dyDescent="0.3">
      <c r="D74"/>
      <c r="E74"/>
      <c r="F74"/>
      <c r="G74"/>
      <c r="H74"/>
      <c r="I74"/>
    </row>
    <row r="75" spans="1:17" x14ac:dyDescent="0.3">
      <c r="D75"/>
      <c r="E75"/>
      <c r="F75"/>
      <c r="G75"/>
      <c r="H75"/>
      <c r="I75"/>
    </row>
    <row r="76" spans="1:17" x14ac:dyDescent="0.3">
      <c r="D76"/>
      <c r="E76"/>
      <c r="F76"/>
      <c r="G76"/>
      <c r="H76"/>
      <c r="I76"/>
    </row>
    <row r="77" spans="1:17" x14ac:dyDescent="0.3">
      <c r="D77"/>
      <c r="E77"/>
      <c r="F77"/>
      <c r="G77"/>
      <c r="H77"/>
      <c r="I77"/>
    </row>
    <row r="78" spans="1:17" x14ac:dyDescent="0.3">
      <c r="D78"/>
      <c r="E78"/>
      <c r="F78"/>
      <c r="G78"/>
      <c r="H78"/>
      <c r="I78"/>
    </row>
    <row r="79" spans="1:17" x14ac:dyDescent="0.3">
      <c r="D79"/>
      <c r="E79"/>
      <c r="F79"/>
      <c r="G79"/>
      <c r="H79"/>
      <c r="I79"/>
    </row>
    <row r="80" spans="1:17" x14ac:dyDescent="0.3">
      <c r="D80"/>
      <c r="E80"/>
      <c r="F80"/>
      <c r="G80"/>
      <c r="H80"/>
      <c r="I80"/>
    </row>
  </sheetData>
  <autoFilter ref="B2:I50" xr:uid="{00000000-0009-0000-0000-000001000000}"/>
  <mergeCells count="165">
    <mergeCell ref="J33:J34"/>
    <mergeCell ref="A1:A2"/>
    <mergeCell ref="B1:B2"/>
    <mergeCell ref="C1:C2"/>
    <mergeCell ref="D1:F1"/>
    <mergeCell ref="G1:I1"/>
    <mergeCell ref="A3:A4"/>
    <mergeCell ref="B3:B4"/>
    <mergeCell ref="G3:G4"/>
    <mergeCell ref="H3:H4"/>
    <mergeCell ref="I3:I4"/>
    <mergeCell ref="A5:A6"/>
    <mergeCell ref="B5:B6"/>
    <mergeCell ref="G5:G6"/>
    <mergeCell ref="H5:H6"/>
    <mergeCell ref="I5:I6"/>
    <mergeCell ref="A7:A8"/>
    <mergeCell ref="B7:B8"/>
    <mergeCell ref="G7:G8"/>
    <mergeCell ref="H7:H8"/>
    <mergeCell ref="I7:I8"/>
    <mergeCell ref="A13:A14"/>
    <mergeCell ref="B13:B14"/>
    <mergeCell ref="G13:G14"/>
    <mergeCell ref="H13:H14"/>
    <mergeCell ref="I13:I14"/>
    <mergeCell ref="J17:J18"/>
    <mergeCell ref="A9:A10"/>
    <mergeCell ref="B9:B10"/>
    <mergeCell ref="G9:G10"/>
    <mergeCell ref="H9:H10"/>
    <mergeCell ref="I9:I10"/>
    <mergeCell ref="A11:A12"/>
    <mergeCell ref="B11:B12"/>
    <mergeCell ref="G11:G12"/>
    <mergeCell ref="H11:H12"/>
    <mergeCell ref="I11:I12"/>
    <mergeCell ref="A15:A16"/>
    <mergeCell ref="B15:B16"/>
    <mergeCell ref="G15:G16"/>
    <mergeCell ref="H15:H16"/>
    <mergeCell ref="I15:I16"/>
    <mergeCell ref="A17:A18"/>
    <mergeCell ref="B17:B18"/>
    <mergeCell ref="G17:G18"/>
    <mergeCell ref="H17:H18"/>
    <mergeCell ref="I17:I18"/>
    <mergeCell ref="A19:A20"/>
    <mergeCell ref="B19:B20"/>
    <mergeCell ref="G19:G20"/>
    <mergeCell ref="H19:H20"/>
    <mergeCell ref="I19:I20"/>
    <mergeCell ref="A21:A22"/>
    <mergeCell ref="B21:B22"/>
    <mergeCell ref="G21:G22"/>
    <mergeCell ref="H21:H22"/>
    <mergeCell ref="I21:I22"/>
    <mergeCell ref="A23:A24"/>
    <mergeCell ref="B23:B24"/>
    <mergeCell ref="G23:G24"/>
    <mergeCell ref="H23:H24"/>
    <mergeCell ref="I23:I24"/>
    <mergeCell ref="A25:A26"/>
    <mergeCell ref="B25:B26"/>
    <mergeCell ref="G25:G26"/>
    <mergeCell ref="H25:H26"/>
    <mergeCell ref="I25:I26"/>
    <mergeCell ref="J29:J30"/>
    <mergeCell ref="A31:A32"/>
    <mergeCell ref="B31:B32"/>
    <mergeCell ref="G31:G32"/>
    <mergeCell ref="H31:H32"/>
    <mergeCell ref="I31:I32"/>
    <mergeCell ref="A27:A28"/>
    <mergeCell ref="B27:B28"/>
    <mergeCell ref="G27:G28"/>
    <mergeCell ref="H27:H28"/>
    <mergeCell ref="I27:I28"/>
    <mergeCell ref="A29:A30"/>
    <mergeCell ref="B29:B30"/>
    <mergeCell ref="G29:G30"/>
    <mergeCell ref="H29:H30"/>
    <mergeCell ref="I29:I30"/>
    <mergeCell ref="A33:A34"/>
    <mergeCell ref="B33:B34"/>
    <mergeCell ref="G33:G34"/>
    <mergeCell ref="H33:H34"/>
    <mergeCell ref="I33:I34"/>
    <mergeCell ref="A35:A36"/>
    <mergeCell ref="B35:B36"/>
    <mergeCell ref="G35:G36"/>
    <mergeCell ref="H35:H36"/>
    <mergeCell ref="I35:I36"/>
    <mergeCell ref="B43:B44"/>
    <mergeCell ref="G43:G44"/>
    <mergeCell ref="H43:H44"/>
    <mergeCell ref="I43:I44"/>
    <mergeCell ref="A39:A40"/>
    <mergeCell ref="B39:B40"/>
    <mergeCell ref="G39:G40"/>
    <mergeCell ref="H39:H40"/>
    <mergeCell ref="I39:I40"/>
    <mergeCell ref="A41:A42"/>
    <mergeCell ref="B41:B42"/>
    <mergeCell ref="G41:G42"/>
    <mergeCell ref="H41:H42"/>
    <mergeCell ref="I41:I42"/>
    <mergeCell ref="F60:G60"/>
    <mergeCell ref="F61:G61"/>
    <mergeCell ref="D63:D68"/>
    <mergeCell ref="F63:G63"/>
    <mergeCell ref="I63:I68"/>
    <mergeCell ref="K63:L63"/>
    <mergeCell ref="A49:A50"/>
    <mergeCell ref="B49:B50"/>
    <mergeCell ref="G49:G50"/>
    <mergeCell ref="H49:H50"/>
    <mergeCell ref="I49:I50"/>
    <mergeCell ref="B55:C55"/>
    <mergeCell ref="A53:A54"/>
    <mergeCell ref="B53:B54"/>
    <mergeCell ref="G53:G54"/>
    <mergeCell ref="H53:H54"/>
    <mergeCell ref="I53:I54"/>
    <mergeCell ref="P66:Q66"/>
    <mergeCell ref="F67:G67"/>
    <mergeCell ref="K67:L67"/>
    <mergeCell ref="P67:Q67"/>
    <mergeCell ref="F68:G68"/>
    <mergeCell ref="K68:L68"/>
    <mergeCell ref="P68:Q68"/>
    <mergeCell ref="N63:N68"/>
    <mergeCell ref="P63:Q63"/>
    <mergeCell ref="F64:G64"/>
    <mergeCell ref="K64:L64"/>
    <mergeCell ref="P64:Q64"/>
    <mergeCell ref="F65:G65"/>
    <mergeCell ref="K65:L65"/>
    <mergeCell ref="P65:Q65"/>
    <mergeCell ref="F66:G66"/>
    <mergeCell ref="K66:L66"/>
    <mergeCell ref="J19:J20"/>
    <mergeCell ref="J5:J6"/>
    <mergeCell ref="A37:A38"/>
    <mergeCell ref="B37:B38"/>
    <mergeCell ref="G37:G38"/>
    <mergeCell ref="H37:H38"/>
    <mergeCell ref="I37:I38"/>
    <mergeCell ref="A51:A52"/>
    <mergeCell ref="B51:B52"/>
    <mergeCell ref="G51:G52"/>
    <mergeCell ref="H51:H52"/>
    <mergeCell ref="I51:I52"/>
    <mergeCell ref="A45:A46"/>
    <mergeCell ref="B45:B46"/>
    <mergeCell ref="G45:G46"/>
    <mergeCell ref="H45:H46"/>
    <mergeCell ref="I45:I46"/>
    <mergeCell ref="A47:A48"/>
    <mergeCell ref="B47:B48"/>
    <mergeCell ref="G47:G48"/>
    <mergeCell ref="H47:H48"/>
    <mergeCell ref="I47:I48"/>
    <mergeCell ref="J41:J42"/>
    <mergeCell ref="A43:A44"/>
  </mergeCell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51854-1D1C-4EB6-8406-48D7B99C004D}">
  <sheetPr>
    <tabColor theme="2" tint="-9.9978637043366805E-2"/>
  </sheetPr>
  <dimension ref="A1:T82"/>
  <sheetViews>
    <sheetView showGridLines="0" zoomScale="85" zoomScaleNormal="85" workbookViewId="0">
      <pane xSplit="3" ySplit="2" topLeftCell="D32" activePane="bottomRight" state="frozen"/>
      <selection activeCell="S39" sqref="S39"/>
      <selection pane="topRight" activeCell="S39" sqref="S39"/>
      <selection pane="bottomLeft" activeCell="S39" sqref="S39"/>
      <selection pane="bottomRight" activeCell="S39" sqref="S39"/>
    </sheetView>
  </sheetViews>
  <sheetFormatPr baseColWidth="10" defaultRowHeight="14.4" x14ac:dyDescent="0.3"/>
  <cols>
    <col min="1" max="1" width="8.88671875" customWidth="1"/>
    <col min="2" max="2" width="10.88671875" style="1" customWidth="1"/>
    <col min="3" max="3" width="8.88671875" style="1" customWidth="1"/>
    <col min="4" max="4" width="13.33203125" style="1" customWidth="1"/>
    <col min="5" max="5" width="11.88671875" style="1" customWidth="1"/>
    <col min="6" max="6" width="11.33203125" style="1" customWidth="1"/>
    <col min="7" max="7" width="11.44140625" style="1" customWidth="1"/>
    <col min="8" max="8" width="13.44140625" style="1" customWidth="1"/>
    <col min="9" max="9" width="11.88671875" style="1" customWidth="1"/>
    <col min="10" max="10" width="12" bestFit="1" customWidth="1"/>
    <col min="11" max="11" width="12.33203125" bestFit="1" customWidth="1"/>
  </cols>
  <sheetData>
    <row r="1" spans="1:10" x14ac:dyDescent="0.3">
      <c r="A1" s="241" t="s">
        <v>12</v>
      </c>
      <c r="B1" s="241" t="s">
        <v>0</v>
      </c>
      <c r="C1" s="241" t="s">
        <v>1</v>
      </c>
      <c r="D1" s="243" t="s">
        <v>7</v>
      </c>
      <c r="E1" s="244"/>
      <c r="F1" s="244"/>
      <c r="G1" s="245" t="s">
        <v>10</v>
      </c>
      <c r="H1" s="246"/>
      <c r="I1" s="247"/>
    </row>
    <row r="2" spans="1:10" ht="15" thickBot="1" x14ac:dyDescent="0.35">
      <c r="A2" s="242"/>
      <c r="B2" s="242"/>
      <c r="C2" s="242"/>
      <c r="D2" s="4" t="s">
        <v>4</v>
      </c>
      <c r="E2" s="5" t="s">
        <v>5</v>
      </c>
      <c r="F2" s="7" t="s">
        <v>6</v>
      </c>
      <c r="G2" s="8" t="s">
        <v>2</v>
      </c>
      <c r="H2" s="5" t="s">
        <v>11</v>
      </c>
      <c r="I2" s="9" t="s">
        <v>3</v>
      </c>
    </row>
    <row r="3" spans="1:10" x14ac:dyDescent="0.3">
      <c r="A3" s="302" t="s">
        <v>15</v>
      </c>
      <c r="B3" s="303">
        <v>45778</v>
      </c>
      <c r="C3" s="101" t="s">
        <v>8</v>
      </c>
      <c r="D3" s="102"/>
      <c r="E3" s="103"/>
      <c r="F3" s="103">
        <f t="shared" ref="F3:F10" si="0">D3-E3</f>
        <v>0</v>
      </c>
      <c r="G3" s="305">
        <f>D3+D4</f>
        <v>0</v>
      </c>
      <c r="H3" s="305">
        <f>E3+E4</f>
        <v>0</v>
      </c>
      <c r="I3" s="306">
        <f>G3-H3</f>
        <v>0</v>
      </c>
      <c r="J3" s="315" t="s">
        <v>53</v>
      </c>
    </row>
    <row r="4" spans="1:10" ht="15" thickBot="1" x14ac:dyDescent="0.35">
      <c r="A4" s="302"/>
      <c r="B4" s="304"/>
      <c r="C4" s="101" t="s">
        <v>9</v>
      </c>
      <c r="D4" s="102"/>
      <c r="E4" s="103"/>
      <c r="F4" s="103">
        <f t="shared" si="0"/>
        <v>0</v>
      </c>
      <c r="G4" s="305"/>
      <c r="H4" s="305"/>
      <c r="I4" s="306"/>
      <c r="J4" s="316"/>
    </row>
    <row r="5" spans="1:10" x14ac:dyDescent="0.3">
      <c r="A5" s="234" t="s">
        <v>16</v>
      </c>
      <c r="B5" s="227">
        <v>45779</v>
      </c>
      <c r="C5" s="67" t="s">
        <v>8</v>
      </c>
      <c r="D5" s="22">
        <v>321782</v>
      </c>
      <c r="E5" s="69">
        <f>32200+38500+126200</f>
        <v>196900</v>
      </c>
      <c r="F5" s="69">
        <f t="shared" si="0"/>
        <v>124882</v>
      </c>
      <c r="G5" s="236">
        <f>D5+D6</f>
        <v>646328</v>
      </c>
      <c r="H5" s="236">
        <f>E5+E6</f>
        <v>278300</v>
      </c>
      <c r="I5" s="238">
        <f>G5-H5</f>
        <v>368028</v>
      </c>
    </row>
    <row r="6" spans="1:10" ht="15" thickBot="1" x14ac:dyDescent="0.35">
      <c r="A6" s="235"/>
      <c r="B6" s="197"/>
      <c r="C6" s="81" t="s">
        <v>9</v>
      </c>
      <c r="D6" s="29">
        <v>324546</v>
      </c>
      <c r="E6" s="82">
        <f>10000+45000+18000+8400</f>
        <v>81400</v>
      </c>
      <c r="F6" s="82">
        <f t="shared" si="0"/>
        <v>243146</v>
      </c>
      <c r="G6" s="237"/>
      <c r="H6" s="237"/>
      <c r="I6" s="239"/>
    </row>
    <row r="7" spans="1:10" x14ac:dyDescent="0.3">
      <c r="A7" s="307" t="s">
        <v>13</v>
      </c>
      <c r="B7" s="309">
        <v>45780</v>
      </c>
      <c r="C7" s="95" t="s">
        <v>8</v>
      </c>
      <c r="D7" s="96">
        <v>242900</v>
      </c>
      <c r="E7" s="97">
        <f>89263</f>
        <v>89263</v>
      </c>
      <c r="F7" s="97">
        <f t="shared" si="0"/>
        <v>153637</v>
      </c>
      <c r="G7" s="311">
        <f>D7+D8</f>
        <v>560000</v>
      </c>
      <c r="H7" s="311">
        <f>E7+E8</f>
        <v>89263</v>
      </c>
      <c r="I7" s="313">
        <f>G7-H7</f>
        <v>470737</v>
      </c>
    </row>
    <row r="8" spans="1:10" ht="15" thickBot="1" x14ac:dyDescent="0.35">
      <c r="A8" s="308"/>
      <c r="B8" s="297"/>
      <c r="C8" s="98" t="s">
        <v>9</v>
      </c>
      <c r="D8" s="99">
        <v>317100</v>
      </c>
      <c r="E8" s="100">
        <v>0</v>
      </c>
      <c r="F8" s="100">
        <f t="shared" si="0"/>
        <v>317100</v>
      </c>
      <c r="G8" s="312"/>
      <c r="H8" s="312"/>
      <c r="I8" s="314"/>
    </row>
    <row r="9" spans="1:10" x14ac:dyDescent="0.3">
      <c r="A9" s="219" t="s">
        <v>17</v>
      </c>
      <c r="B9" s="196">
        <v>45782</v>
      </c>
      <c r="C9" s="60" t="s">
        <v>8</v>
      </c>
      <c r="D9" s="23">
        <v>457178</v>
      </c>
      <c r="E9" s="3">
        <f>10000+8000+13750+74500+126300+39600+126200</f>
        <v>398350</v>
      </c>
      <c r="F9" s="3">
        <f t="shared" si="0"/>
        <v>58828</v>
      </c>
      <c r="G9" s="220">
        <f>D9+D10</f>
        <v>1164754</v>
      </c>
      <c r="H9" s="220">
        <f>E9+E10</f>
        <v>724642</v>
      </c>
      <c r="I9" s="221">
        <f>G9-H9</f>
        <v>440112</v>
      </c>
    </row>
    <row r="10" spans="1:10" ht="15" thickBot="1" x14ac:dyDescent="0.35">
      <c r="A10" s="194"/>
      <c r="B10" s="197"/>
      <c r="C10" s="61" t="s">
        <v>9</v>
      </c>
      <c r="D10" s="22">
        <v>707576</v>
      </c>
      <c r="E10" s="2">
        <f>326292</f>
        <v>326292</v>
      </c>
      <c r="F10" s="2">
        <f t="shared" si="0"/>
        <v>381284</v>
      </c>
      <c r="G10" s="198"/>
      <c r="H10" s="198"/>
      <c r="I10" s="200"/>
    </row>
    <row r="11" spans="1:10" x14ac:dyDescent="0.3">
      <c r="A11" s="194" t="s">
        <v>18</v>
      </c>
      <c r="B11" s="196">
        <v>45783</v>
      </c>
      <c r="C11" s="61" t="s">
        <v>8</v>
      </c>
      <c r="D11" s="22">
        <v>373594</v>
      </c>
      <c r="E11" s="2">
        <f>8000+49912+60711+7200+32500</f>
        <v>158323</v>
      </c>
      <c r="F11" s="2">
        <f t="shared" ref="F11:F46" si="1">D11-E11</f>
        <v>215271</v>
      </c>
      <c r="G11" s="198">
        <f>D11+D12</f>
        <v>945840</v>
      </c>
      <c r="H11" s="198">
        <f>E11+E12</f>
        <v>443223</v>
      </c>
      <c r="I11" s="200">
        <f>G11-H11</f>
        <v>502617</v>
      </c>
    </row>
    <row r="12" spans="1:10" ht="15" thickBot="1" x14ac:dyDescent="0.35">
      <c r="A12" s="194"/>
      <c r="B12" s="197"/>
      <c r="C12" s="61" t="s">
        <v>9</v>
      </c>
      <c r="D12" s="22">
        <v>572246</v>
      </c>
      <c r="E12" s="2">
        <f>272295+12605</f>
        <v>284900</v>
      </c>
      <c r="F12" s="2">
        <f t="shared" si="1"/>
        <v>287346</v>
      </c>
      <c r="G12" s="198"/>
      <c r="H12" s="198"/>
      <c r="I12" s="200"/>
    </row>
    <row r="13" spans="1:10" x14ac:dyDescent="0.3">
      <c r="A13" s="194" t="s">
        <v>19</v>
      </c>
      <c r="B13" s="196">
        <v>45784</v>
      </c>
      <c r="C13" s="61" t="s">
        <v>8</v>
      </c>
      <c r="D13" s="2">
        <v>417000</v>
      </c>
      <c r="E13" s="2">
        <f>8000+30000+14200+59263</f>
        <v>111463</v>
      </c>
      <c r="F13" s="2">
        <f t="shared" si="1"/>
        <v>305537</v>
      </c>
      <c r="G13" s="198">
        <f>D13+D14</f>
        <v>969232</v>
      </c>
      <c r="H13" s="198">
        <f>E13+E14</f>
        <v>381531</v>
      </c>
      <c r="I13" s="200">
        <f>G13-H13</f>
        <v>587701</v>
      </c>
    </row>
    <row r="14" spans="1:10" ht="15" thickBot="1" x14ac:dyDescent="0.35">
      <c r="A14" s="194"/>
      <c r="B14" s="197"/>
      <c r="C14" s="61" t="s">
        <v>9</v>
      </c>
      <c r="D14" s="2">
        <v>552232</v>
      </c>
      <c r="E14" s="2">
        <f>270068</f>
        <v>270068</v>
      </c>
      <c r="F14" s="2">
        <f t="shared" si="1"/>
        <v>282164</v>
      </c>
      <c r="G14" s="198"/>
      <c r="H14" s="198"/>
      <c r="I14" s="200"/>
    </row>
    <row r="15" spans="1:10" x14ac:dyDescent="0.3">
      <c r="A15" s="194" t="s">
        <v>15</v>
      </c>
      <c r="B15" s="196">
        <v>45785</v>
      </c>
      <c r="C15" s="61" t="s">
        <v>8</v>
      </c>
      <c r="D15" s="22">
        <v>561043</v>
      </c>
      <c r="E15" s="2">
        <f>274961</f>
        <v>274961</v>
      </c>
      <c r="F15" s="2">
        <f t="shared" si="1"/>
        <v>286082</v>
      </c>
      <c r="G15" s="198">
        <f>D15+D16</f>
        <v>1242905</v>
      </c>
      <c r="H15" s="198">
        <f>E15+E16</f>
        <v>548174</v>
      </c>
      <c r="I15" s="200">
        <f>G15-H15</f>
        <v>694731</v>
      </c>
    </row>
    <row r="16" spans="1:10" ht="15" thickBot="1" x14ac:dyDescent="0.35">
      <c r="A16" s="194"/>
      <c r="B16" s="197"/>
      <c r="C16" s="61" t="s">
        <v>9</v>
      </c>
      <c r="D16" s="22">
        <v>681862</v>
      </c>
      <c r="E16" s="2">
        <f>59263+8000+34450+26500+130000+15000</f>
        <v>273213</v>
      </c>
      <c r="F16" s="2">
        <f t="shared" si="1"/>
        <v>408649</v>
      </c>
      <c r="G16" s="198"/>
      <c r="H16" s="198"/>
      <c r="I16" s="200"/>
    </row>
    <row r="17" spans="1:20" x14ac:dyDescent="0.3">
      <c r="A17" s="194" t="s">
        <v>16</v>
      </c>
      <c r="B17" s="196">
        <v>45786</v>
      </c>
      <c r="C17" s="61" t="s">
        <v>8</v>
      </c>
      <c r="D17" s="22">
        <v>535369</v>
      </c>
      <c r="E17" s="2">
        <f>21200+56100+165000+8000+26500+342644</f>
        <v>619444</v>
      </c>
      <c r="F17" s="2">
        <f t="shared" si="1"/>
        <v>-84075</v>
      </c>
      <c r="G17" s="198">
        <f>D17+D18</f>
        <v>1124652</v>
      </c>
      <c r="H17" s="198">
        <f>E17+E18</f>
        <v>1194444</v>
      </c>
      <c r="I17" s="200">
        <f>G17-H17</f>
        <v>-69792</v>
      </c>
      <c r="J17" s="248" t="s">
        <v>42</v>
      </c>
    </row>
    <row r="18" spans="1:20" ht="15" thickBot="1" x14ac:dyDescent="0.35">
      <c r="A18" s="195"/>
      <c r="B18" s="197"/>
      <c r="C18" s="79" t="s">
        <v>9</v>
      </c>
      <c r="D18" s="29">
        <v>589283</v>
      </c>
      <c r="E18" s="6">
        <f>530000+23000+15000+7000</f>
        <v>575000</v>
      </c>
      <c r="F18" s="6">
        <f t="shared" si="1"/>
        <v>14283</v>
      </c>
      <c r="G18" s="199"/>
      <c r="H18" s="199"/>
      <c r="I18" s="201"/>
      <c r="J18" s="249"/>
    </row>
    <row r="19" spans="1:20" x14ac:dyDescent="0.3">
      <c r="A19" s="202" t="s">
        <v>13</v>
      </c>
      <c r="B19" s="204">
        <v>45787</v>
      </c>
      <c r="C19" s="77" t="s">
        <v>8</v>
      </c>
      <c r="D19" s="35">
        <v>241794</v>
      </c>
      <c r="E19" s="36">
        <f>354980</f>
        <v>354980</v>
      </c>
      <c r="F19" s="36">
        <f t="shared" si="1"/>
        <v>-113186</v>
      </c>
      <c r="G19" s="206">
        <f>D19+D20</f>
        <v>606247</v>
      </c>
      <c r="H19" s="206">
        <f>E19+E20</f>
        <v>487930</v>
      </c>
      <c r="I19" s="208">
        <f>G19-H19</f>
        <v>118317</v>
      </c>
    </row>
    <row r="20" spans="1:20" ht="15" thickBot="1" x14ac:dyDescent="0.35">
      <c r="A20" s="203"/>
      <c r="B20" s="280"/>
      <c r="C20" s="78" t="s">
        <v>35</v>
      </c>
      <c r="D20" s="37">
        <v>364453</v>
      </c>
      <c r="E20" s="38">
        <f>12750+8000+22200+27000+63000</f>
        <v>132950</v>
      </c>
      <c r="F20" s="38">
        <f t="shared" si="1"/>
        <v>231503</v>
      </c>
      <c r="G20" s="207"/>
      <c r="H20" s="207"/>
      <c r="I20" s="209"/>
    </row>
    <row r="21" spans="1:20" s="1" customFormat="1" ht="14.25" customHeight="1" x14ac:dyDescent="0.3">
      <c r="A21" s="219" t="s">
        <v>17</v>
      </c>
      <c r="B21" s="196">
        <v>45789</v>
      </c>
      <c r="C21" s="60" t="s">
        <v>8</v>
      </c>
      <c r="D21" s="23">
        <v>433784</v>
      </c>
      <c r="E21" s="3">
        <f>55000+135000+26561+18450+78863</f>
        <v>313874</v>
      </c>
      <c r="F21" s="3">
        <f t="shared" si="1"/>
        <v>119910</v>
      </c>
      <c r="G21" s="220">
        <f>D21+D22</f>
        <v>975335</v>
      </c>
      <c r="H21" s="220">
        <f>E21+E22</f>
        <v>546239</v>
      </c>
      <c r="I21" s="221">
        <f>G21-H21</f>
        <v>429096</v>
      </c>
      <c r="J21"/>
      <c r="K21"/>
      <c r="L21"/>
      <c r="M21"/>
      <c r="N21"/>
    </row>
    <row r="22" spans="1:20" s="1" customFormat="1" ht="15" thickBot="1" x14ac:dyDescent="0.35">
      <c r="A22" s="194"/>
      <c r="B22" s="197"/>
      <c r="C22" s="61" t="s">
        <v>9</v>
      </c>
      <c r="D22" s="22">
        <v>541551</v>
      </c>
      <c r="E22" s="2">
        <f>224365+8000</f>
        <v>232365</v>
      </c>
      <c r="F22" s="2">
        <f t="shared" si="1"/>
        <v>309186</v>
      </c>
      <c r="G22" s="198"/>
      <c r="H22" s="198"/>
      <c r="I22" s="200"/>
      <c r="J22"/>
      <c r="K22"/>
      <c r="L22"/>
      <c r="M22"/>
      <c r="N22"/>
    </row>
    <row r="23" spans="1:20" s="1" customFormat="1" x14ac:dyDescent="0.3">
      <c r="A23" s="194" t="s">
        <v>18</v>
      </c>
      <c r="B23" s="196">
        <v>45790</v>
      </c>
      <c r="C23" s="61" t="s">
        <v>8</v>
      </c>
      <c r="D23" s="22">
        <v>436559</v>
      </c>
      <c r="E23" s="2">
        <f>8000+82000+22200+66832+50000+50000</f>
        <v>279032</v>
      </c>
      <c r="F23" s="2">
        <f t="shared" si="1"/>
        <v>157527</v>
      </c>
      <c r="G23" s="198">
        <f>D23+D24</f>
        <v>981097</v>
      </c>
      <c r="H23" s="198">
        <f>E23+E24</f>
        <v>618462</v>
      </c>
      <c r="I23" s="200">
        <f>G23-H23</f>
        <v>362635</v>
      </c>
      <c r="J23"/>
      <c r="K23"/>
      <c r="L23"/>
      <c r="M23"/>
      <c r="N23"/>
    </row>
    <row r="24" spans="1:20" s="1" customFormat="1" ht="15" thickBot="1" x14ac:dyDescent="0.35">
      <c r="A24" s="194"/>
      <c r="B24" s="197"/>
      <c r="C24" s="61" t="s">
        <v>9</v>
      </c>
      <c r="D24" s="22">
        <v>544538</v>
      </c>
      <c r="E24" s="2">
        <f>339430</f>
        <v>339430</v>
      </c>
      <c r="F24" s="2">
        <f t="shared" si="1"/>
        <v>205108</v>
      </c>
      <c r="G24" s="198"/>
      <c r="H24" s="198"/>
      <c r="I24" s="200"/>
      <c r="J24"/>
      <c r="K24"/>
      <c r="L24"/>
    </row>
    <row r="25" spans="1:20" s="1" customFormat="1" ht="14.25" customHeight="1" x14ac:dyDescent="0.3">
      <c r="A25" s="194" t="s">
        <v>19</v>
      </c>
      <c r="B25" s="196">
        <v>45791</v>
      </c>
      <c r="C25" s="66" t="s">
        <v>8</v>
      </c>
      <c r="D25" s="44">
        <v>593516</v>
      </c>
      <c r="E25" s="45">
        <f>40000+8000+35400+15650+104000</f>
        <v>203050</v>
      </c>
      <c r="F25" s="45">
        <f t="shared" si="1"/>
        <v>390466</v>
      </c>
      <c r="G25" s="211">
        <f>D25+D26</f>
        <v>1102682</v>
      </c>
      <c r="H25" s="211">
        <f>E25+E26</f>
        <v>446316</v>
      </c>
      <c r="I25" s="212">
        <f>G25-H25</f>
        <v>656366</v>
      </c>
      <c r="J25" s="210"/>
      <c r="K25"/>
      <c r="L25"/>
    </row>
    <row r="26" spans="1:20" s="1" customFormat="1" ht="15" thickBot="1" x14ac:dyDescent="0.35">
      <c r="A26" s="194"/>
      <c r="B26" s="197"/>
      <c r="C26" s="66" t="s">
        <v>9</v>
      </c>
      <c r="D26" s="44">
        <v>509166</v>
      </c>
      <c r="E26" s="45">
        <f>49912+177354+16000</f>
        <v>243266</v>
      </c>
      <c r="F26" s="45">
        <f t="shared" si="1"/>
        <v>265900</v>
      </c>
      <c r="G26" s="211"/>
      <c r="H26" s="211"/>
      <c r="I26" s="212"/>
      <c r="J26" s="210"/>
      <c r="K26"/>
      <c r="L26"/>
    </row>
    <row r="27" spans="1:20" s="1" customFormat="1" x14ac:dyDescent="0.3">
      <c r="A27" s="194" t="s">
        <v>15</v>
      </c>
      <c r="B27" s="196">
        <v>45792</v>
      </c>
      <c r="C27" s="104" t="s">
        <v>8</v>
      </c>
      <c r="D27" s="2">
        <v>529318</v>
      </c>
      <c r="E27" s="2">
        <f>8000+165000+61420+11200+135843</f>
        <v>381463</v>
      </c>
      <c r="F27" s="2">
        <f t="shared" si="1"/>
        <v>147855</v>
      </c>
      <c r="G27" s="198">
        <f>D27+D28</f>
        <v>1152379</v>
      </c>
      <c r="H27" s="198">
        <f>E27+E28</f>
        <v>683162</v>
      </c>
      <c r="I27" s="200">
        <f>G27-H27</f>
        <v>469217</v>
      </c>
      <c r="J27"/>
      <c r="K27"/>
      <c r="L27"/>
      <c r="M27"/>
      <c r="N27"/>
    </row>
    <row r="28" spans="1:20" s="1" customFormat="1" ht="15" thickBot="1" x14ac:dyDescent="0.35">
      <c r="A28" s="194"/>
      <c r="B28" s="197"/>
      <c r="C28" s="104" t="s">
        <v>9</v>
      </c>
      <c r="D28" s="2">
        <v>623061</v>
      </c>
      <c r="E28" s="2">
        <f>231699+70000</f>
        <v>301699</v>
      </c>
      <c r="F28" s="2">
        <f t="shared" si="1"/>
        <v>321362</v>
      </c>
      <c r="G28" s="198"/>
      <c r="H28" s="198"/>
      <c r="I28" s="200"/>
      <c r="J28"/>
      <c r="K28"/>
      <c r="L28"/>
      <c r="M28"/>
      <c r="N28"/>
    </row>
    <row r="29" spans="1:20" x14ac:dyDescent="0.3">
      <c r="A29" s="194" t="s">
        <v>16</v>
      </c>
      <c r="B29" s="196">
        <v>45793</v>
      </c>
      <c r="C29" s="104" t="s">
        <v>8</v>
      </c>
      <c r="D29" s="2">
        <v>625516</v>
      </c>
      <c r="E29" s="2">
        <f>8000+511045</f>
        <v>519045</v>
      </c>
      <c r="F29" s="2">
        <f t="shared" si="1"/>
        <v>106471</v>
      </c>
      <c r="G29" s="198">
        <f>D29+D30</f>
        <v>1187737</v>
      </c>
      <c r="H29" s="301">
        <f>E29+E30</f>
        <v>788182</v>
      </c>
      <c r="I29" s="200">
        <f>G29-H29</f>
        <v>399555</v>
      </c>
      <c r="J29" s="292"/>
    </row>
    <row r="30" spans="1:20" ht="15" thickBot="1" x14ac:dyDescent="0.35">
      <c r="A30" s="195"/>
      <c r="B30" s="197"/>
      <c r="C30" s="105" t="s">
        <v>9</v>
      </c>
      <c r="D30" s="2">
        <v>562221</v>
      </c>
      <c r="E30" s="2">
        <f>97487+46000+18450+32200+25000+50000</f>
        <v>269137</v>
      </c>
      <c r="F30" s="2">
        <f t="shared" si="1"/>
        <v>293084</v>
      </c>
      <c r="G30" s="198"/>
      <c r="H30" s="301"/>
      <c r="I30" s="201"/>
      <c r="J30" s="293"/>
    </row>
    <row r="31" spans="1:20" x14ac:dyDescent="0.3">
      <c r="A31" s="294" t="s">
        <v>13</v>
      </c>
      <c r="B31" s="296">
        <v>45794</v>
      </c>
      <c r="C31" s="106" t="s">
        <v>8</v>
      </c>
      <c r="D31" s="108">
        <v>337677</v>
      </c>
      <c r="E31" s="108">
        <f>8000+67000+136000+32266+2889+136800</f>
        <v>382955</v>
      </c>
      <c r="F31" s="108">
        <f t="shared" si="1"/>
        <v>-45278</v>
      </c>
      <c r="G31" s="298">
        <f>D31+D32</f>
        <v>590491</v>
      </c>
      <c r="H31" s="298">
        <f>E31+E32</f>
        <v>455526</v>
      </c>
      <c r="I31" s="299">
        <f>G31-H31</f>
        <v>134965</v>
      </c>
      <c r="J31" s="40"/>
      <c r="S31" s="85"/>
      <c r="T31" t="s">
        <v>52</v>
      </c>
    </row>
    <row r="32" spans="1:20" ht="15" thickBot="1" x14ac:dyDescent="0.35">
      <c r="A32" s="295"/>
      <c r="B32" s="297"/>
      <c r="C32" s="107" t="s">
        <v>35</v>
      </c>
      <c r="D32" s="108">
        <v>252814</v>
      </c>
      <c r="E32" s="108">
        <f>57571+15000</f>
        <v>72571</v>
      </c>
      <c r="F32" s="108">
        <f t="shared" si="1"/>
        <v>180243</v>
      </c>
      <c r="G32" s="298"/>
      <c r="H32" s="298"/>
      <c r="I32" s="300"/>
      <c r="J32" t="s">
        <v>43</v>
      </c>
      <c r="S32" s="43"/>
      <c r="T32" t="s">
        <v>41</v>
      </c>
    </row>
    <row r="33" spans="1:16" s="1" customFormat="1" x14ac:dyDescent="0.3">
      <c r="A33" s="194" t="s">
        <v>17</v>
      </c>
      <c r="B33" s="196">
        <v>45796</v>
      </c>
      <c r="C33" s="104" t="s">
        <v>8</v>
      </c>
      <c r="D33" s="2">
        <v>376344</v>
      </c>
      <c r="E33" s="2">
        <f>8000+79932+20000+286687</f>
        <v>394619</v>
      </c>
      <c r="F33" s="2">
        <f>D33-E33</f>
        <v>-18275</v>
      </c>
      <c r="G33" s="198">
        <f>D33+D34</f>
        <v>950368</v>
      </c>
      <c r="H33" s="198">
        <f>E33+E34</f>
        <v>824613</v>
      </c>
      <c r="I33" s="200">
        <f>G33-H33</f>
        <v>125755</v>
      </c>
      <c r="J33"/>
      <c r="K33"/>
      <c r="L33"/>
      <c r="M33"/>
      <c r="N33"/>
      <c r="O33"/>
      <c r="P33"/>
    </row>
    <row r="34" spans="1:16" s="1" customFormat="1" ht="15" thickBot="1" x14ac:dyDescent="0.35">
      <c r="A34" s="194"/>
      <c r="B34" s="197"/>
      <c r="C34" s="104" t="s">
        <v>9</v>
      </c>
      <c r="D34" s="2">
        <v>574024</v>
      </c>
      <c r="E34" s="2">
        <f>429994</f>
        <v>429994</v>
      </c>
      <c r="F34" s="2">
        <f>D34-E34</f>
        <v>144030</v>
      </c>
      <c r="G34" s="198"/>
      <c r="H34" s="198"/>
      <c r="I34" s="200"/>
      <c r="J34"/>
      <c r="K34"/>
      <c r="L34"/>
      <c r="M34"/>
      <c r="N34"/>
      <c r="O34"/>
      <c r="P34"/>
    </row>
    <row r="35" spans="1:16" s="1" customFormat="1" x14ac:dyDescent="0.3">
      <c r="A35" s="194" t="s">
        <v>18</v>
      </c>
      <c r="B35" s="196">
        <v>45797</v>
      </c>
      <c r="C35" s="104" t="s">
        <v>8</v>
      </c>
      <c r="D35" s="2">
        <v>375808</v>
      </c>
      <c r="E35" s="2">
        <f>4000+39600+21040+32200+32100</f>
        <v>128940</v>
      </c>
      <c r="F35" s="2">
        <f t="shared" si="1"/>
        <v>246868</v>
      </c>
      <c r="G35" s="198">
        <f>D35+D36</f>
        <v>815865</v>
      </c>
      <c r="H35" s="198">
        <f>E35+E36</f>
        <v>407665</v>
      </c>
      <c r="I35" s="200">
        <f>G35-H35</f>
        <v>408200</v>
      </c>
      <c r="J35"/>
      <c r="K35"/>
      <c r="L35"/>
      <c r="M35"/>
      <c r="N35"/>
      <c r="O35"/>
      <c r="P35"/>
    </row>
    <row r="36" spans="1:16" s="1" customFormat="1" ht="15" thickBot="1" x14ac:dyDescent="0.35">
      <c r="A36" s="194"/>
      <c r="B36" s="197"/>
      <c r="C36" s="104" t="s">
        <v>9</v>
      </c>
      <c r="D36" s="2">
        <v>440057</v>
      </c>
      <c r="E36" s="2">
        <f>278725</f>
        <v>278725</v>
      </c>
      <c r="F36" s="2">
        <f t="shared" si="1"/>
        <v>161332</v>
      </c>
      <c r="G36" s="198"/>
      <c r="H36" s="198"/>
      <c r="I36" s="200"/>
      <c r="J36"/>
      <c r="K36"/>
      <c r="L36"/>
      <c r="M36"/>
      <c r="N36"/>
      <c r="O36"/>
      <c r="P36"/>
    </row>
    <row r="37" spans="1:16" s="1" customFormat="1" ht="14.25" customHeight="1" x14ac:dyDescent="0.3">
      <c r="A37" s="194" t="s">
        <v>19</v>
      </c>
      <c r="B37" s="196">
        <v>45798</v>
      </c>
      <c r="C37" s="66" t="s">
        <v>8</v>
      </c>
      <c r="D37" s="44">
        <v>490208</v>
      </c>
      <c r="E37" s="45">
        <f>8000+136000+18450</f>
        <v>162450</v>
      </c>
      <c r="F37" s="45">
        <f t="shared" si="1"/>
        <v>327758</v>
      </c>
      <c r="G37" s="211">
        <f>D37+D38</f>
        <v>1155294</v>
      </c>
      <c r="H37" s="211">
        <f>E37+E38</f>
        <v>325872</v>
      </c>
      <c r="I37" s="212">
        <f>G37-H37</f>
        <v>829422</v>
      </c>
      <c r="J37" s="210"/>
      <c r="K37"/>
      <c r="L37"/>
      <c r="O37"/>
      <c r="P37"/>
    </row>
    <row r="38" spans="1:16" s="1" customFormat="1" ht="15" thickBot="1" x14ac:dyDescent="0.35">
      <c r="A38" s="194"/>
      <c r="B38" s="197"/>
      <c r="C38" s="66" t="s">
        <v>9</v>
      </c>
      <c r="D38" s="44">
        <v>665086</v>
      </c>
      <c r="E38" s="45">
        <f>38500+124922</f>
        <v>163422</v>
      </c>
      <c r="F38" s="45">
        <f t="shared" si="1"/>
        <v>501664</v>
      </c>
      <c r="G38" s="211"/>
      <c r="H38" s="211"/>
      <c r="I38" s="212"/>
      <c r="J38" s="210"/>
      <c r="K38"/>
      <c r="L38"/>
      <c r="O38"/>
      <c r="P38"/>
    </row>
    <row r="39" spans="1:16" s="1" customFormat="1" x14ac:dyDescent="0.3">
      <c r="A39" s="194" t="s">
        <v>15</v>
      </c>
      <c r="B39" s="196">
        <v>45799</v>
      </c>
      <c r="C39" s="61" t="s">
        <v>8</v>
      </c>
      <c r="D39" s="22">
        <v>484751</v>
      </c>
      <c r="E39" s="2">
        <f>8000+79932+61000+53355+106570</f>
        <v>308857</v>
      </c>
      <c r="F39" s="2">
        <f t="shared" si="1"/>
        <v>175894</v>
      </c>
      <c r="G39" s="198">
        <f>D39+D40</f>
        <v>1043580</v>
      </c>
      <c r="H39" s="198">
        <f>E39+E40</f>
        <v>641516</v>
      </c>
      <c r="I39" s="200">
        <f>G39-H39</f>
        <v>402064</v>
      </c>
      <c r="J39"/>
      <c r="K39"/>
      <c r="L39"/>
      <c r="O39"/>
      <c r="P39"/>
    </row>
    <row r="40" spans="1:16" s="1" customFormat="1" ht="15" thickBot="1" x14ac:dyDescent="0.35">
      <c r="A40" s="194"/>
      <c r="B40" s="197"/>
      <c r="C40" s="61" t="s">
        <v>9</v>
      </c>
      <c r="D40" s="22">
        <v>558829</v>
      </c>
      <c r="E40" s="2">
        <f>302659+20000+10000</f>
        <v>332659</v>
      </c>
      <c r="F40" s="2">
        <f t="shared" si="1"/>
        <v>226170</v>
      </c>
      <c r="G40" s="198"/>
      <c r="H40" s="198"/>
      <c r="I40" s="200"/>
      <c r="J40"/>
      <c r="K40"/>
      <c r="L40"/>
      <c r="M40"/>
      <c r="N40"/>
      <c r="O40"/>
      <c r="P40"/>
    </row>
    <row r="41" spans="1:16" x14ac:dyDescent="0.3">
      <c r="A41" s="194" t="s">
        <v>16</v>
      </c>
      <c r="B41" s="196">
        <v>45800</v>
      </c>
      <c r="C41" s="61" t="s">
        <v>8</v>
      </c>
      <c r="D41" s="22">
        <v>505163</v>
      </c>
      <c r="E41" s="2">
        <f>8000+165000+32200+19850+51000</f>
        <v>276050</v>
      </c>
      <c r="F41" s="2">
        <f t="shared" si="1"/>
        <v>229113</v>
      </c>
      <c r="G41" s="198">
        <f>D41+D42</f>
        <v>1062819</v>
      </c>
      <c r="H41" s="198">
        <f>E41+E42</f>
        <v>703241</v>
      </c>
      <c r="I41" s="200">
        <f>G41-H41</f>
        <v>359578</v>
      </c>
    </row>
    <row r="42" spans="1:16" ht="15" thickBot="1" x14ac:dyDescent="0.35">
      <c r="A42" s="222"/>
      <c r="B42" s="197"/>
      <c r="C42" s="62" t="s">
        <v>9</v>
      </c>
      <c r="D42" s="27">
        <v>557656</v>
      </c>
      <c r="E42" s="10">
        <f>427191</f>
        <v>427191</v>
      </c>
      <c r="F42" s="10">
        <f t="shared" si="1"/>
        <v>130465</v>
      </c>
      <c r="G42" s="223"/>
      <c r="H42" s="223"/>
      <c r="I42" s="225"/>
    </row>
    <row r="43" spans="1:16" x14ac:dyDescent="0.3">
      <c r="A43" s="202" t="s">
        <v>13</v>
      </c>
      <c r="B43" s="204">
        <v>45801</v>
      </c>
      <c r="C43" s="77" t="s">
        <v>8</v>
      </c>
      <c r="D43" s="35">
        <v>382971</v>
      </c>
      <c r="E43" s="36">
        <f>70000+10000</f>
        <v>80000</v>
      </c>
      <c r="F43" s="36">
        <f t="shared" si="1"/>
        <v>302971</v>
      </c>
      <c r="G43" s="206">
        <f>D43+D44</f>
        <v>786689</v>
      </c>
      <c r="H43" s="206">
        <f>E43+E44</f>
        <v>152500</v>
      </c>
      <c r="I43" s="208">
        <f>G43-H43</f>
        <v>634189</v>
      </c>
      <c r="M43" s="13" t="s">
        <v>2</v>
      </c>
      <c r="N43" s="12">
        <v>1</v>
      </c>
    </row>
    <row r="44" spans="1:16" ht="15" thickBot="1" x14ac:dyDescent="0.35">
      <c r="A44" s="203"/>
      <c r="B44" s="280"/>
      <c r="C44" s="78" t="s">
        <v>9</v>
      </c>
      <c r="D44" s="37">
        <v>403718</v>
      </c>
      <c r="E44" s="38">
        <f>10000+62500</f>
        <v>72500</v>
      </c>
      <c r="F44" s="38">
        <f t="shared" si="1"/>
        <v>331218</v>
      </c>
      <c r="G44" s="207"/>
      <c r="H44" s="207"/>
      <c r="I44" s="209"/>
      <c r="M44" s="14" t="s">
        <v>11</v>
      </c>
      <c r="N44" s="17">
        <f>H57*100/G57/100</f>
        <v>0.55765896571154772</v>
      </c>
    </row>
    <row r="45" spans="1:16" x14ac:dyDescent="0.3">
      <c r="A45" s="226" t="s">
        <v>17</v>
      </c>
      <c r="B45" s="227">
        <v>45803</v>
      </c>
      <c r="C45" s="76" t="s">
        <v>8</v>
      </c>
      <c r="D45" s="30">
        <v>461602</v>
      </c>
      <c r="E45" s="11">
        <f>8000+80481+83401+136000</f>
        <v>307882</v>
      </c>
      <c r="F45" s="11">
        <f t="shared" si="1"/>
        <v>153720</v>
      </c>
      <c r="G45" s="224">
        <f>D45+D46</f>
        <v>953564</v>
      </c>
      <c r="H45" s="224">
        <f>E45+E46</f>
        <v>659920</v>
      </c>
      <c r="I45" s="228">
        <f>G45-H45</f>
        <v>293644</v>
      </c>
      <c r="M45" s="15" t="s">
        <v>3</v>
      </c>
      <c r="N45" s="16">
        <f>(100%-N44)</f>
        <v>0.44234103428845228</v>
      </c>
    </row>
    <row r="46" spans="1:16" ht="15" thickBot="1" x14ac:dyDescent="0.35">
      <c r="A46" s="222"/>
      <c r="B46" s="197"/>
      <c r="C46" s="62" t="s">
        <v>9</v>
      </c>
      <c r="D46" s="27">
        <v>491962</v>
      </c>
      <c r="E46" s="10">
        <f>352038</f>
        <v>352038</v>
      </c>
      <c r="F46" s="10">
        <f t="shared" si="1"/>
        <v>139924</v>
      </c>
      <c r="G46" s="223"/>
      <c r="H46" s="223"/>
      <c r="I46" s="225"/>
    </row>
    <row r="47" spans="1:16" x14ac:dyDescent="0.3">
      <c r="A47" s="226" t="s">
        <v>18</v>
      </c>
      <c r="B47" s="227">
        <v>45804</v>
      </c>
      <c r="C47" s="76" t="s">
        <v>8</v>
      </c>
      <c r="D47" s="30">
        <v>658039</v>
      </c>
      <c r="E47" s="11">
        <f>8000+24000+14200+82000+32200+74050+117669</f>
        <v>352119</v>
      </c>
      <c r="F47" s="11">
        <f>D47-E47</f>
        <v>305920</v>
      </c>
      <c r="G47" s="224">
        <f>D47+D48</f>
        <v>1188621</v>
      </c>
      <c r="H47" s="224">
        <f>E47+E48</f>
        <v>632119</v>
      </c>
      <c r="I47" s="228">
        <f>G47-H47</f>
        <v>556502</v>
      </c>
    </row>
    <row r="48" spans="1:16" ht="15" thickBot="1" x14ac:dyDescent="0.35">
      <c r="A48" s="222"/>
      <c r="B48" s="197"/>
      <c r="C48" s="62" t="s">
        <v>9</v>
      </c>
      <c r="D48" s="27">
        <v>530582</v>
      </c>
      <c r="E48" s="10">
        <f>205000+35000+40000</f>
        <v>280000</v>
      </c>
      <c r="F48" s="10">
        <f>D48-E48</f>
        <v>250582</v>
      </c>
      <c r="G48" s="223"/>
      <c r="H48" s="223"/>
      <c r="I48" s="225"/>
    </row>
    <row r="49" spans="1:16" x14ac:dyDescent="0.3">
      <c r="A49" s="226" t="s">
        <v>14</v>
      </c>
      <c r="B49" s="227">
        <v>45805</v>
      </c>
      <c r="C49" s="76" t="s">
        <v>8</v>
      </c>
      <c r="D49" s="30">
        <v>466595</v>
      </c>
      <c r="E49" s="11">
        <f>8000+40000+136000+57481</f>
        <v>241481</v>
      </c>
      <c r="F49" s="11">
        <f>D49-E49</f>
        <v>225114</v>
      </c>
      <c r="G49" s="224">
        <f>D49+D50</f>
        <v>1165111</v>
      </c>
      <c r="H49" s="224">
        <f>E49+E50</f>
        <v>473287</v>
      </c>
      <c r="I49" s="228">
        <f>G49-H49</f>
        <v>691824</v>
      </c>
    </row>
    <row r="50" spans="1:16" ht="15" thickBot="1" x14ac:dyDescent="0.35">
      <c r="A50" s="222"/>
      <c r="B50" s="197"/>
      <c r="C50" s="62" t="s">
        <v>9</v>
      </c>
      <c r="D50" s="27">
        <v>698516</v>
      </c>
      <c r="E50" s="10">
        <f>163106+31500+35600+1600</f>
        <v>231806</v>
      </c>
      <c r="F50" s="10">
        <f>D50-E50</f>
        <v>466710</v>
      </c>
      <c r="G50" s="223"/>
      <c r="H50" s="223"/>
      <c r="I50" s="225"/>
    </row>
    <row r="51" spans="1:16" s="1" customFormat="1" x14ac:dyDescent="0.3">
      <c r="A51" s="194" t="s">
        <v>15</v>
      </c>
      <c r="B51" s="227">
        <v>45806</v>
      </c>
      <c r="C51" s="61" t="s">
        <v>8</v>
      </c>
      <c r="D51" s="22">
        <v>434607</v>
      </c>
      <c r="E51" s="2">
        <f>8000+23400+165000+77684+12750+82000+92959</f>
        <v>461793</v>
      </c>
      <c r="F51" s="2">
        <f t="shared" ref="F51:F56" si="2">D51-E51</f>
        <v>-27186</v>
      </c>
      <c r="G51" s="198">
        <f>D51+D52</f>
        <v>1006851</v>
      </c>
      <c r="H51" s="198">
        <f>E51+E52</f>
        <v>809380</v>
      </c>
      <c r="I51" s="200">
        <f>G51-H51</f>
        <v>197471</v>
      </c>
      <c r="J51"/>
      <c r="K51"/>
      <c r="L51"/>
      <c r="O51"/>
      <c r="P51"/>
    </row>
    <row r="52" spans="1:16" s="1" customFormat="1" x14ac:dyDescent="0.3">
      <c r="A52" s="194"/>
      <c r="B52" s="197"/>
      <c r="C52" s="61" t="s">
        <v>9</v>
      </c>
      <c r="D52" s="22">
        <v>572244</v>
      </c>
      <c r="E52" s="2">
        <f>347587</f>
        <v>347587</v>
      </c>
      <c r="F52" s="2">
        <f t="shared" si="2"/>
        <v>224657</v>
      </c>
      <c r="G52" s="198"/>
      <c r="H52" s="198"/>
      <c r="I52" s="200"/>
      <c r="J52"/>
      <c r="K52"/>
      <c r="L52"/>
      <c r="M52"/>
      <c r="N52"/>
      <c r="O52"/>
      <c r="P52"/>
    </row>
    <row r="53" spans="1:16" x14ac:dyDescent="0.3">
      <c r="A53" s="194" t="s">
        <v>16</v>
      </c>
      <c r="B53" s="227">
        <v>45807</v>
      </c>
      <c r="C53" s="61" t="s">
        <v>8</v>
      </c>
      <c r="D53" s="22">
        <v>474447</v>
      </c>
      <c r="E53" s="2">
        <f>8000+35500+49912+40000</f>
        <v>133412</v>
      </c>
      <c r="F53" s="2">
        <f t="shared" si="2"/>
        <v>341035</v>
      </c>
      <c r="G53" s="198">
        <f>D53+D54</f>
        <v>1064350</v>
      </c>
      <c r="H53" s="198">
        <f>E53+E54</f>
        <v>565020</v>
      </c>
      <c r="I53" s="200">
        <f>G53-H53</f>
        <v>499330</v>
      </c>
    </row>
    <row r="54" spans="1:16" ht="15" thickBot="1" x14ac:dyDescent="0.35">
      <c r="A54" s="222"/>
      <c r="B54" s="197"/>
      <c r="C54" s="62" t="s">
        <v>9</v>
      </c>
      <c r="D54" s="27">
        <v>589903</v>
      </c>
      <c r="E54" s="10">
        <f>431608</f>
        <v>431608</v>
      </c>
      <c r="F54" s="10">
        <f t="shared" si="2"/>
        <v>158295</v>
      </c>
      <c r="G54" s="223"/>
      <c r="H54" s="223"/>
      <c r="I54" s="225"/>
    </row>
    <row r="55" spans="1:16" x14ac:dyDescent="0.3">
      <c r="A55" s="307" t="s">
        <v>13</v>
      </c>
      <c r="B55" s="309">
        <v>45808</v>
      </c>
      <c r="C55" s="95" t="s">
        <v>8</v>
      </c>
      <c r="D55" s="96">
        <v>425917</v>
      </c>
      <c r="E55" s="97">
        <f>8000+41800+18450+25000+40000</f>
        <v>133250</v>
      </c>
      <c r="F55" s="97">
        <f t="shared" si="2"/>
        <v>292667</v>
      </c>
      <c r="G55" s="311">
        <f>D55+D56</f>
        <v>812388</v>
      </c>
      <c r="H55" s="311">
        <f>E55+E56</f>
        <v>203250</v>
      </c>
      <c r="I55" s="313">
        <f>G55-H55</f>
        <v>609138</v>
      </c>
    </row>
    <row r="56" spans="1:16" ht="15" thickBot="1" x14ac:dyDescent="0.35">
      <c r="A56" s="308"/>
      <c r="B56" s="310"/>
      <c r="C56" s="98" t="s">
        <v>9</v>
      </c>
      <c r="D56" s="99">
        <v>386471</v>
      </c>
      <c r="E56" s="100">
        <f>70000</f>
        <v>70000</v>
      </c>
      <c r="F56" s="100">
        <f t="shared" si="2"/>
        <v>316471</v>
      </c>
      <c r="G56" s="312"/>
      <c r="H56" s="312"/>
      <c r="I56" s="314"/>
    </row>
    <row r="57" spans="1:16" s="1" customFormat="1" ht="15" thickBot="1" x14ac:dyDescent="0.35">
      <c r="A57"/>
      <c r="B57" s="277" t="s">
        <v>10</v>
      </c>
      <c r="C57" s="278"/>
      <c r="D57" s="50">
        <f>SUM(D3:D56)</f>
        <v>25255179</v>
      </c>
      <c r="E57" s="50">
        <f>SUM(E3:E50)</f>
        <v>12506127</v>
      </c>
      <c r="F57" s="50">
        <f>SUM(F3:F56)</f>
        <v>11171402</v>
      </c>
      <c r="G57" s="50">
        <f>SUM(G3:G56)</f>
        <v>25255179</v>
      </c>
      <c r="H57" s="50">
        <f>SUM(H3:H56)</f>
        <v>14083777</v>
      </c>
      <c r="I57" s="50">
        <f>SUM(I3:I56)</f>
        <v>11171402</v>
      </c>
      <c r="J57"/>
      <c r="K57" s="39"/>
      <c r="L57"/>
      <c r="M57"/>
      <c r="N57"/>
      <c r="O57"/>
      <c r="P57"/>
    </row>
    <row r="58" spans="1:16" s="1" customFormat="1" x14ac:dyDescent="0.3">
      <c r="A58"/>
      <c r="J58"/>
      <c r="K58" s="39"/>
      <c r="L58"/>
      <c r="M58"/>
      <c r="N58"/>
      <c r="O58"/>
      <c r="P58"/>
    </row>
    <row r="59" spans="1:16" s="1" customFormat="1" x14ac:dyDescent="0.3">
      <c r="A59"/>
      <c r="J59"/>
      <c r="K59" s="39"/>
      <c r="L59"/>
      <c r="M59"/>
      <c r="N59"/>
      <c r="O59"/>
      <c r="P59"/>
    </row>
    <row r="60" spans="1:16" s="1" customFormat="1" x14ac:dyDescent="0.3">
      <c r="A60"/>
      <c r="J60"/>
      <c r="K60" s="39"/>
      <c r="L60"/>
      <c r="M60"/>
      <c r="N60"/>
    </row>
    <row r="61" spans="1:16" x14ac:dyDescent="0.3">
      <c r="K61" s="39"/>
    </row>
    <row r="62" spans="1:16" x14ac:dyDescent="0.3">
      <c r="D62" s="20" t="s">
        <v>21</v>
      </c>
      <c r="E62" s="2">
        <f>MAXA(D3:D56)</f>
        <v>707576</v>
      </c>
      <c r="F62" s="283">
        <v>45751</v>
      </c>
      <c r="G62" s="187"/>
      <c r="K62" s="39"/>
    </row>
    <row r="63" spans="1:16" x14ac:dyDescent="0.3">
      <c r="D63" s="21" t="s">
        <v>22</v>
      </c>
      <c r="E63" s="2">
        <f>IF(MINA(D3:D36)&lt;&gt;0, MINA(D3:D36))</f>
        <v>241794</v>
      </c>
      <c r="F63" s="283">
        <v>45749</v>
      </c>
      <c r="G63" s="187"/>
      <c r="K63" s="39"/>
    </row>
    <row r="64" spans="1:16" s="1" customFormat="1" x14ac:dyDescent="0.3">
      <c r="A64"/>
      <c r="C64" s="1" t="s">
        <v>20</v>
      </c>
      <c r="J64"/>
      <c r="K64"/>
      <c r="L64"/>
      <c r="M64"/>
      <c r="N64"/>
    </row>
    <row r="65" spans="1:17" x14ac:dyDescent="0.3">
      <c r="D65" s="192" t="s">
        <v>36</v>
      </c>
      <c r="E65" s="18">
        <f>AVERAGEA(G3:G8)</f>
        <v>402109.33333333331</v>
      </c>
      <c r="F65" s="187" t="s">
        <v>23</v>
      </c>
      <c r="G65" s="187"/>
      <c r="I65" s="193" t="s">
        <v>37</v>
      </c>
      <c r="J65" s="18">
        <f>AVERAGEA(H3:H8)</f>
        <v>122521</v>
      </c>
      <c r="K65" s="187" t="s">
        <v>23</v>
      </c>
      <c r="L65" s="187"/>
      <c r="N65" s="188" t="s">
        <v>38</v>
      </c>
      <c r="O65" s="18">
        <f>AVERAGEA(I3:I8)</f>
        <v>279588.33333333331</v>
      </c>
      <c r="P65" s="187" t="s">
        <v>23</v>
      </c>
      <c r="Q65" s="187"/>
    </row>
    <row r="66" spans="1:17" x14ac:dyDescent="0.3">
      <c r="D66" s="192"/>
      <c r="E66" s="18">
        <f>AVERAGEA(G9:G20)</f>
        <v>1008938.3333333334</v>
      </c>
      <c r="F66" s="187" t="s">
        <v>24</v>
      </c>
      <c r="G66" s="187"/>
      <c r="I66" s="193"/>
      <c r="J66" s="18">
        <f>AVERAGEA(H9:H20)</f>
        <v>629990.66666666663</v>
      </c>
      <c r="K66" s="187" t="s">
        <v>24</v>
      </c>
      <c r="L66" s="187"/>
      <c r="N66" s="188"/>
      <c r="O66" s="18">
        <f>AVERAGEA(I9:I20)</f>
        <v>378947.66666666669</v>
      </c>
      <c r="P66" s="187" t="s">
        <v>24</v>
      </c>
      <c r="Q66" s="187"/>
    </row>
    <row r="67" spans="1:17" x14ac:dyDescent="0.3">
      <c r="D67" s="192"/>
      <c r="E67" s="18">
        <f>AVERAGEA(G21:G32)</f>
        <v>998286.83333333337</v>
      </c>
      <c r="F67" s="187" t="s">
        <v>25</v>
      </c>
      <c r="G67" s="187"/>
      <c r="I67" s="193"/>
      <c r="J67" s="18">
        <f>AVERAGEA(H21:H32)</f>
        <v>589647.83333333337</v>
      </c>
      <c r="K67" s="187" t="s">
        <v>25</v>
      </c>
      <c r="L67" s="187"/>
      <c r="N67" s="188"/>
      <c r="O67" s="18">
        <f>AVERAGEA(I21:I32)</f>
        <v>408639</v>
      </c>
      <c r="P67" s="187" t="s">
        <v>25</v>
      </c>
      <c r="Q67" s="187"/>
    </row>
    <row r="68" spans="1:17" x14ac:dyDescent="0.3">
      <c r="D68" s="192"/>
      <c r="E68" s="18">
        <f>AVERAGEA(G33:G44)</f>
        <v>969102.5</v>
      </c>
      <c r="F68" s="184" t="s">
        <v>26</v>
      </c>
      <c r="G68" s="185"/>
      <c r="I68" s="193"/>
      <c r="J68" s="18">
        <f>AVERAGEA(H33:H44)</f>
        <v>509234.5</v>
      </c>
      <c r="K68" s="184" t="s">
        <v>26</v>
      </c>
      <c r="L68" s="185"/>
      <c r="N68" s="188"/>
      <c r="O68" s="18">
        <f>AVERAGEA(I33:I44)</f>
        <v>459868</v>
      </c>
      <c r="P68" s="184" t="s">
        <v>26</v>
      </c>
      <c r="Q68" s="185"/>
    </row>
    <row r="69" spans="1:17" x14ac:dyDescent="0.3">
      <c r="D69" s="192"/>
      <c r="E69" s="18">
        <f>AVERAGEA(G45:G50)</f>
        <v>1102432</v>
      </c>
      <c r="F69" s="184" t="s">
        <v>34</v>
      </c>
      <c r="G69" s="185"/>
      <c r="I69" s="193"/>
      <c r="J69" s="18">
        <f>AVERAGEA(H45:H50)</f>
        <v>588442</v>
      </c>
      <c r="K69" s="184" t="s">
        <v>34</v>
      </c>
      <c r="L69" s="185"/>
      <c r="N69" s="188"/>
      <c r="O69" s="18">
        <f>AVERAGEA(I35:I42)</f>
        <v>499816</v>
      </c>
      <c r="P69" s="184" t="s">
        <v>34</v>
      </c>
      <c r="Q69" s="185"/>
    </row>
    <row r="70" spans="1:17" x14ac:dyDescent="0.3">
      <c r="D70" s="192"/>
      <c r="E70" s="28">
        <f>AVERAGEA(E65:E68)</f>
        <v>844609.25</v>
      </c>
      <c r="F70" s="186" t="s">
        <v>10</v>
      </c>
      <c r="G70" s="186"/>
      <c r="I70" s="193"/>
      <c r="J70" s="28">
        <f>AVERAGEA(J65:J68)</f>
        <v>462848.5</v>
      </c>
      <c r="K70" s="186" t="s">
        <v>10</v>
      </c>
      <c r="L70" s="186"/>
      <c r="N70" s="189"/>
      <c r="O70" s="28">
        <f>AVERAGEA(O65:O68)</f>
        <v>381760.75</v>
      </c>
      <c r="P70" s="186" t="s">
        <v>10</v>
      </c>
      <c r="Q70" s="186"/>
    </row>
    <row r="72" spans="1:17" x14ac:dyDescent="0.3">
      <c r="D72"/>
      <c r="E72"/>
      <c r="F72"/>
      <c r="G72"/>
      <c r="H72"/>
      <c r="I72"/>
    </row>
    <row r="73" spans="1:17" s="1" customFormat="1" x14ac:dyDescent="0.3">
      <c r="A73"/>
      <c r="D73"/>
      <c r="E73"/>
      <c r="F73"/>
      <c r="G73"/>
      <c r="H73"/>
      <c r="I73"/>
      <c r="J73"/>
      <c r="K73"/>
      <c r="L73"/>
      <c r="M73"/>
      <c r="N73"/>
    </row>
    <row r="74" spans="1:17" x14ac:dyDescent="0.3">
      <c r="D74"/>
      <c r="E74"/>
      <c r="F74"/>
      <c r="G74"/>
      <c r="H74"/>
      <c r="I74"/>
    </row>
    <row r="75" spans="1:17" ht="27" customHeight="1" x14ac:dyDescent="0.3">
      <c r="D75"/>
      <c r="E75"/>
      <c r="F75"/>
      <c r="G75"/>
      <c r="H75"/>
      <c r="I75"/>
    </row>
    <row r="76" spans="1:17" x14ac:dyDescent="0.3">
      <c r="D76"/>
      <c r="E76"/>
      <c r="F76"/>
      <c r="G76"/>
      <c r="H76"/>
      <c r="I76"/>
    </row>
    <row r="77" spans="1:17" x14ac:dyDescent="0.3">
      <c r="D77"/>
      <c r="E77"/>
      <c r="F77"/>
      <c r="G77"/>
      <c r="H77"/>
      <c r="I77"/>
    </row>
    <row r="78" spans="1:17" x14ac:dyDescent="0.3">
      <c r="D78"/>
      <c r="E78"/>
      <c r="F78"/>
      <c r="G78"/>
      <c r="H78"/>
      <c r="I78"/>
    </row>
    <row r="79" spans="1:17" x14ac:dyDescent="0.3">
      <c r="D79"/>
      <c r="E79"/>
      <c r="F79"/>
      <c r="G79"/>
      <c r="H79"/>
      <c r="I79"/>
    </row>
    <row r="80" spans="1:17" x14ac:dyDescent="0.3">
      <c r="D80"/>
      <c r="E80"/>
      <c r="F80"/>
      <c r="G80"/>
      <c r="H80"/>
      <c r="I80"/>
    </row>
    <row r="81" spans="4:9" x14ac:dyDescent="0.3">
      <c r="D81"/>
      <c r="E81"/>
      <c r="F81"/>
      <c r="G81"/>
      <c r="H81"/>
      <c r="I81"/>
    </row>
    <row r="82" spans="4:9" x14ac:dyDescent="0.3">
      <c r="D82"/>
      <c r="E82"/>
      <c r="F82"/>
      <c r="G82"/>
      <c r="H82"/>
      <c r="I82"/>
    </row>
  </sheetData>
  <autoFilter ref="B2:I57" xr:uid="{00000000-0009-0000-0000-000001000000}"/>
  <mergeCells count="169">
    <mergeCell ref="H53:H54"/>
    <mergeCell ref="I53:I54"/>
    <mergeCell ref="A55:A56"/>
    <mergeCell ref="B55:B56"/>
    <mergeCell ref="G55:G56"/>
    <mergeCell ref="H55:H56"/>
    <mergeCell ref="I55:I56"/>
    <mergeCell ref="J3:J4"/>
    <mergeCell ref="B5:B6"/>
    <mergeCell ref="A5:A6"/>
    <mergeCell ref="G5:G6"/>
    <mergeCell ref="H5:H6"/>
    <mergeCell ref="I5:I6"/>
    <mergeCell ref="A7:A8"/>
    <mergeCell ref="B7:B8"/>
    <mergeCell ref="G7:G8"/>
    <mergeCell ref="H7:H8"/>
    <mergeCell ref="I7:I8"/>
    <mergeCell ref="A9:A10"/>
    <mergeCell ref="B9:B10"/>
    <mergeCell ref="G9:G10"/>
    <mergeCell ref="H9:H10"/>
    <mergeCell ref="I9:I10"/>
    <mergeCell ref="J17:J18"/>
    <mergeCell ref="A1:A2"/>
    <mergeCell ref="B1:B2"/>
    <mergeCell ref="C1:C2"/>
    <mergeCell ref="D1:F1"/>
    <mergeCell ref="G1:I1"/>
    <mergeCell ref="A3:A4"/>
    <mergeCell ref="B3:B4"/>
    <mergeCell ref="G3:G4"/>
    <mergeCell ref="H3:H4"/>
    <mergeCell ref="I3:I4"/>
    <mergeCell ref="A15:A16"/>
    <mergeCell ref="B15:B16"/>
    <mergeCell ref="G15:G16"/>
    <mergeCell ref="H15:H16"/>
    <mergeCell ref="I15:I16"/>
    <mergeCell ref="A11:A12"/>
    <mergeCell ref="B11:B12"/>
    <mergeCell ref="G11:G12"/>
    <mergeCell ref="H11:H12"/>
    <mergeCell ref="I11:I12"/>
    <mergeCell ref="A13:A14"/>
    <mergeCell ref="B13:B14"/>
    <mergeCell ref="G13:G14"/>
    <mergeCell ref="H13:H14"/>
    <mergeCell ref="I13:I14"/>
    <mergeCell ref="A17:A18"/>
    <mergeCell ref="B17:B18"/>
    <mergeCell ref="G17:G18"/>
    <mergeCell ref="H17:H18"/>
    <mergeCell ref="I17:I18"/>
    <mergeCell ref="A19:A20"/>
    <mergeCell ref="B19:B20"/>
    <mergeCell ref="G19:G20"/>
    <mergeCell ref="H19:H20"/>
    <mergeCell ref="I19:I20"/>
    <mergeCell ref="A25:A26"/>
    <mergeCell ref="B25:B26"/>
    <mergeCell ref="G25:G26"/>
    <mergeCell ref="H25:H26"/>
    <mergeCell ref="I25:I26"/>
    <mergeCell ref="J25:J26"/>
    <mergeCell ref="A21:A22"/>
    <mergeCell ref="B21:B22"/>
    <mergeCell ref="G21:G22"/>
    <mergeCell ref="H21:H22"/>
    <mergeCell ref="I21:I22"/>
    <mergeCell ref="A23:A24"/>
    <mergeCell ref="B23:B24"/>
    <mergeCell ref="G23:G24"/>
    <mergeCell ref="H23:H24"/>
    <mergeCell ref="I23:I24"/>
    <mergeCell ref="J29:J30"/>
    <mergeCell ref="A31:A32"/>
    <mergeCell ref="B31:B32"/>
    <mergeCell ref="G31:G32"/>
    <mergeCell ref="H31:H32"/>
    <mergeCell ref="I31:I32"/>
    <mergeCell ref="A27:A28"/>
    <mergeCell ref="B27:B28"/>
    <mergeCell ref="G27:G28"/>
    <mergeCell ref="H27:H28"/>
    <mergeCell ref="I27:I28"/>
    <mergeCell ref="A29:A30"/>
    <mergeCell ref="B29:B30"/>
    <mergeCell ref="G29:G30"/>
    <mergeCell ref="H29:H30"/>
    <mergeCell ref="I29:I30"/>
    <mergeCell ref="A37:A38"/>
    <mergeCell ref="B37:B38"/>
    <mergeCell ref="G37:G38"/>
    <mergeCell ref="H37:H38"/>
    <mergeCell ref="I37:I38"/>
    <mergeCell ref="J37:J38"/>
    <mergeCell ref="A33:A34"/>
    <mergeCell ref="B33:B34"/>
    <mergeCell ref="G33:G34"/>
    <mergeCell ref="H33:H34"/>
    <mergeCell ref="I33:I34"/>
    <mergeCell ref="A35:A36"/>
    <mergeCell ref="B35:B36"/>
    <mergeCell ref="G35:G36"/>
    <mergeCell ref="H35:H36"/>
    <mergeCell ref="I35:I36"/>
    <mergeCell ref="A39:A40"/>
    <mergeCell ref="B39:B40"/>
    <mergeCell ref="G39:G40"/>
    <mergeCell ref="H39:H40"/>
    <mergeCell ref="I39:I40"/>
    <mergeCell ref="A41:A42"/>
    <mergeCell ref="B41:B42"/>
    <mergeCell ref="G41:G42"/>
    <mergeCell ref="H41:H42"/>
    <mergeCell ref="I41:I42"/>
    <mergeCell ref="A43:A44"/>
    <mergeCell ref="B43:B44"/>
    <mergeCell ref="G43:G44"/>
    <mergeCell ref="H43:H44"/>
    <mergeCell ref="I43:I44"/>
    <mergeCell ref="A45:A46"/>
    <mergeCell ref="B45:B46"/>
    <mergeCell ref="G45:G46"/>
    <mergeCell ref="H45:H46"/>
    <mergeCell ref="I45:I46"/>
    <mergeCell ref="B57:C57"/>
    <mergeCell ref="F62:G62"/>
    <mergeCell ref="F63:G63"/>
    <mergeCell ref="D65:D70"/>
    <mergeCell ref="F65:G65"/>
    <mergeCell ref="I65:I70"/>
    <mergeCell ref="A47:A48"/>
    <mergeCell ref="B47:B48"/>
    <mergeCell ref="G47:G48"/>
    <mergeCell ref="H47:H48"/>
    <mergeCell ref="I47:I48"/>
    <mergeCell ref="A49:A50"/>
    <mergeCell ref="B49:B50"/>
    <mergeCell ref="G49:G50"/>
    <mergeCell ref="H49:H50"/>
    <mergeCell ref="I49:I50"/>
    <mergeCell ref="A51:A52"/>
    <mergeCell ref="B51:B52"/>
    <mergeCell ref="G51:G52"/>
    <mergeCell ref="H51:H52"/>
    <mergeCell ref="I51:I52"/>
    <mergeCell ref="A53:A54"/>
    <mergeCell ref="B53:B54"/>
    <mergeCell ref="G53:G54"/>
    <mergeCell ref="K68:L68"/>
    <mergeCell ref="P68:Q68"/>
    <mergeCell ref="F69:G69"/>
    <mergeCell ref="K69:L69"/>
    <mergeCell ref="P69:Q69"/>
    <mergeCell ref="F70:G70"/>
    <mergeCell ref="K70:L70"/>
    <mergeCell ref="P70:Q70"/>
    <mergeCell ref="K65:L65"/>
    <mergeCell ref="N65:N70"/>
    <mergeCell ref="P65:Q65"/>
    <mergeCell ref="F66:G66"/>
    <mergeCell ref="K66:L66"/>
    <mergeCell ref="P66:Q66"/>
    <mergeCell ref="F67:G67"/>
    <mergeCell ref="K67:L67"/>
    <mergeCell ref="P67:Q67"/>
    <mergeCell ref="F68:G68"/>
  </mergeCell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66860-8A8B-46FC-8C11-6EF394B55346}">
  <sheetPr>
    <tabColor theme="2" tint="-9.9978637043366805E-2"/>
  </sheetPr>
  <dimension ref="A1:T78"/>
  <sheetViews>
    <sheetView showGridLines="0" zoomScale="85" zoomScaleNormal="85" workbookViewId="0">
      <pane xSplit="3" ySplit="2" topLeftCell="D27" activePane="bottomRight" state="frozen"/>
      <selection activeCell="S39" sqref="S39"/>
      <selection pane="topRight" activeCell="S39" sqref="S39"/>
      <selection pane="bottomLeft" activeCell="S39" sqref="S39"/>
      <selection pane="bottomRight" activeCell="S39" sqref="S39"/>
    </sheetView>
  </sheetViews>
  <sheetFormatPr baseColWidth="10" defaultRowHeight="14.4" x14ac:dyDescent="0.3"/>
  <cols>
    <col min="1" max="1" width="8.88671875" customWidth="1"/>
    <col min="2" max="2" width="10.88671875" style="1" customWidth="1"/>
    <col min="3" max="3" width="8.88671875" style="1" customWidth="1"/>
    <col min="4" max="4" width="13.33203125" style="1" customWidth="1"/>
    <col min="5" max="5" width="11.88671875" style="1" customWidth="1"/>
    <col min="6" max="6" width="11.33203125" style="1" customWidth="1"/>
    <col min="7" max="7" width="11.44140625" style="1" customWidth="1"/>
    <col min="8" max="8" width="13.44140625" style="1" customWidth="1"/>
    <col min="9" max="9" width="11.88671875" style="1" customWidth="1"/>
    <col min="10" max="10" width="12" bestFit="1" customWidth="1"/>
    <col min="11" max="11" width="12.33203125" bestFit="1" customWidth="1"/>
  </cols>
  <sheetData>
    <row r="1" spans="1:14" x14ac:dyDescent="0.3">
      <c r="A1" s="241" t="s">
        <v>12</v>
      </c>
      <c r="B1" s="241" t="s">
        <v>0</v>
      </c>
      <c r="C1" s="241" t="s">
        <v>1</v>
      </c>
      <c r="D1" s="243" t="s">
        <v>7</v>
      </c>
      <c r="E1" s="244"/>
      <c r="F1" s="244"/>
      <c r="G1" s="245" t="s">
        <v>10</v>
      </c>
      <c r="H1" s="246"/>
      <c r="I1" s="247"/>
    </row>
    <row r="2" spans="1:14" ht="15" thickBot="1" x14ac:dyDescent="0.35">
      <c r="A2" s="242"/>
      <c r="B2" s="242"/>
      <c r="C2" s="242"/>
      <c r="D2" s="4" t="s">
        <v>4</v>
      </c>
      <c r="E2" s="5" t="s">
        <v>5</v>
      </c>
      <c r="F2" s="7" t="s">
        <v>6</v>
      </c>
      <c r="G2" s="8" t="s">
        <v>2</v>
      </c>
      <c r="H2" s="5" t="s">
        <v>11</v>
      </c>
      <c r="I2" s="9" t="s">
        <v>3</v>
      </c>
    </row>
    <row r="3" spans="1:14" x14ac:dyDescent="0.3">
      <c r="A3" s="219" t="s">
        <v>17</v>
      </c>
      <c r="B3" s="196">
        <v>45779</v>
      </c>
      <c r="C3" s="60" t="s">
        <v>8</v>
      </c>
      <c r="D3" s="23">
        <v>446235</v>
      </c>
      <c r="E3" s="3">
        <f>8000+59263+34400</f>
        <v>101663</v>
      </c>
      <c r="F3" s="3">
        <f>D3-E3</f>
        <v>344572</v>
      </c>
      <c r="G3" s="220">
        <f>D3+D4</f>
        <v>932504</v>
      </c>
      <c r="H3" s="220">
        <f>E3+E4</f>
        <v>350306</v>
      </c>
      <c r="I3" s="221">
        <f>G3-H3</f>
        <v>582198</v>
      </c>
    </row>
    <row r="4" spans="1:14" ht="15" thickBot="1" x14ac:dyDescent="0.35">
      <c r="A4" s="194"/>
      <c r="B4" s="197"/>
      <c r="C4" s="61" t="s">
        <v>9</v>
      </c>
      <c r="D4" s="22">
        <v>486269</v>
      </c>
      <c r="E4" s="2">
        <v>248643</v>
      </c>
      <c r="F4" s="2">
        <f>D4-E4</f>
        <v>237626</v>
      </c>
      <c r="G4" s="198"/>
      <c r="H4" s="198"/>
      <c r="I4" s="200"/>
    </row>
    <row r="5" spans="1:14" x14ac:dyDescent="0.3">
      <c r="A5" s="194" t="s">
        <v>18</v>
      </c>
      <c r="B5" s="196">
        <v>45780</v>
      </c>
      <c r="C5" s="61" t="s">
        <v>8</v>
      </c>
      <c r="D5" s="22">
        <v>379385</v>
      </c>
      <c r="E5" s="2">
        <f>8000+80500+21039+165000+13650+136000</f>
        <v>424189</v>
      </c>
      <c r="F5" s="2">
        <f t="shared" ref="F5:F40" si="0">D5-E5</f>
        <v>-44804</v>
      </c>
      <c r="G5" s="198">
        <f>D5+D6</f>
        <v>974257</v>
      </c>
      <c r="H5" s="198">
        <f>E5+E6</f>
        <v>741638</v>
      </c>
      <c r="I5" s="200">
        <f>G5-H5</f>
        <v>232619</v>
      </c>
    </row>
    <row r="6" spans="1:14" ht="15" thickBot="1" x14ac:dyDescent="0.35">
      <c r="A6" s="194"/>
      <c r="B6" s="197"/>
      <c r="C6" s="61" t="s">
        <v>9</v>
      </c>
      <c r="D6" s="22">
        <v>594872</v>
      </c>
      <c r="E6" s="2">
        <f>317449</f>
        <v>317449</v>
      </c>
      <c r="F6" s="2">
        <f t="shared" si="0"/>
        <v>277423</v>
      </c>
      <c r="G6" s="198"/>
      <c r="H6" s="198"/>
      <c r="I6" s="200"/>
    </row>
    <row r="7" spans="1:14" x14ac:dyDescent="0.3">
      <c r="A7" s="194" t="s">
        <v>19</v>
      </c>
      <c r="B7" s="196">
        <v>45781</v>
      </c>
      <c r="C7" s="61" t="s">
        <v>8</v>
      </c>
      <c r="D7" s="2">
        <v>499779</v>
      </c>
      <c r="E7" s="2">
        <f>8000+227877</f>
        <v>235877</v>
      </c>
      <c r="F7" s="2">
        <f t="shared" si="0"/>
        <v>263902</v>
      </c>
      <c r="G7" s="198">
        <f>D7+D8</f>
        <v>1063744</v>
      </c>
      <c r="H7" s="198">
        <f>E7+E8</f>
        <v>378785</v>
      </c>
      <c r="I7" s="200">
        <f>G7-H7</f>
        <v>684959</v>
      </c>
    </row>
    <row r="8" spans="1:14" ht="15" thickBot="1" x14ac:dyDescent="0.35">
      <c r="A8" s="194"/>
      <c r="B8" s="197"/>
      <c r="C8" s="61" t="s">
        <v>9</v>
      </c>
      <c r="D8" s="2">
        <v>563965</v>
      </c>
      <c r="E8" s="2">
        <f>98188+39600+5120</f>
        <v>142908</v>
      </c>
      <c r="F8" s="2">
        <f t="shared" si="0"/>
        <v>421057</v>
      </c>
      <c r="G8" s="198"/>
      <c r="H8" s="198"/>
      <c r="I8" s="200"/>
    </row>
    <row r="9" spans="1:14" x14ac:dyDescent="0.3">
      <c r="A9" s="194" t="s">
        <v>15</v>
      </c>
      <c r="B9" s="196">
        <v>45782</v>
      </c>
      <c r="C9" s="61" t="s">
        <v>8</v>
      </c>
      <c r="D9" s="22">
        <v>418962</v>
      </c>
      <c r="E9" s="2">
        <f>8000+45400+85090+131000+20800+52673+97487+3000+3000</f>
        <v>446450</v>
      </c>
      <c r="F9" s="2">
        <f t="shared" si="0"/>
        <v>-27488</v>
      </c>
      <c r="G9" s="198">
        <f>D9+D10</f>
        <v>927066</v>
      </c>
      <c r="H9" s="198">
        <f>E9+E10</f>
        <v>970087</v>
      </c>
      <c r="I9" s="200">
        <f>G9-H9</f>
        <v>-43021</v>
      </c>
    </row>
    <row r="10" spans="1:14" ht="15" thickBot="1" x14ac:dyDescent="0.35">
      <c r="A10" s="194"/>
      <c r="B10" s="197"/>
      <c r="C10" s="61" t="s">
        <v>9</v>
      </c>
      <c r="D10" s="22">
        <v>508104</v>
      </c>
      <c r="E10" s="2">
        <f>523637</f>
        <v>523637</v>
      </c>
      <c r="F10" s="2">
        <f t="shared" si="0"/>
        <v>-15533</v>
      </c>
      <c r="G10" s="198"/>
      <c r="H10" s="198"/>
      <c r="I10" s="200"/>
    </row>
    <row r="11" spans="1:14" x14ac:dyDescent="0.3">
      <c r="A11" s="194" t="s">
        <v>16</v>
      </c>
      <c r="B11" s="196">
        <v>45783</v>
      </c>
      <c r="C11" s="61" t="s">
        <v>8</v>
      </c>
      <c r="D11" s="22">
        <v>600666</v>
      </c>
      <c r="E11" s="2">
        <f>8000+132500</f>
        <v>140500</v>
      </c>
      <c r="F11" s="2">
        <f t="shared" si="0"/>
        <v>460166</v>
      </c>
      <c r="G11" s="198">
        <f>D11+D12</f>
        <v>1093745</v>
      </c>
      <c r="H11" s="198">
        <f>E11+E12</f>
        <v>476775</v>
      </c>
      <c r="I11" s="200">
        <f>G11-H11</f>
        <v>616970</v>
      </c>
      <c r="J11" s="248" t="s">
        <v>42</v>
      </c>
    </row>
    <row r="12" spans="1:14" ht="15" thickBot="1" x14ac:dyDescent="0.35">
      <c r="A12" s="195"/>
      <c r="B12" s="197"/>
      <c r="C12" s="79" t="s">
        <v>9</v>
      </c>
      <c r="D12" s="29">
        <v>493079</v>
      </c>
      <c r="E12" s="6">
        <f>131000+205275</f>
        <v>336275</v>
      </c>
      <c r="F12" s="6">
        <f t="shared" si="0"/>
        <v>156804</v>
      </c>
      <c r="G12" s="199"/>
      <c r="H12" s="199"/>
      <c r="I12" s="201"/>
      <c r="J12" s="249"/>
    </row>
    <row r="13" spans="1:14" x14ac:dyDescent="0.3">
      <c r="A13" s="202" t="s">
        <v>13</v>
      </c>
      <c r="B13" s="204">
        <v>45784</v>
      </c>
      <c r="C13" s="77" t="s">
        <v>8</v>
      </c>
      <c r="D13" s="35">
        <v>444676</v>
      </c>
      <c r="E13" s="36">
        <f>8000+25000+15000+10000</f>
        <v>58000</v>
      </c>
      <c r="F13" s="36">
        <f t="shared" si="0"/>
        <v>386676</v>
      </c>
      <c r="G13" s="206">
        <f>D13+D14</f>
        <v>904375</v>
      </c>
      <c r="H13" s="206">
        <f>E13+E14</f>
        <v>860318</v>
      </c>
      <c r="I13" s="208">
        <f>G13-H13</f>
        <v>44057</v>
      </c>
    </row>
    <row r="14" spans="1:14" ht="15" thickBot="1" x14ac:dyDescent="0.35">
      <c r="A14" s="203"/>
      <c r="B14" s="280"/>
      <c r="C14" s="78" t="s">
        <v>35</v>
      </c>
      <c r="D14" s="37">
        <v>459699</v>
      </c>
      <c r="E14" s="38">
        <f>802318</f>
        <v>802318</v>
      </c>
      <c r="F14" s="38">
        <f t="shared" si="0"/>
        <v>-342619</v>
      </c>
      <c r="G14" s="207"/>
      <c r="H14" s="207"/>
      <c r="I14" s="209"/>
    </row>
    <row r="15" spans="1:14" s="1" customFormat="1" ht="14.25" customHeight="1" x14ac:dyDescent="0.3">
      <c r="A15" s="219" t="s">
        <v>17</v>
      </c>
      <c r="B15" s="196">
        <v>45786</v>
      </c>
      <c r="C15" s="60" t="s">
        <v>8</v>
      </c>
      <c r="D15" s="23">
        <v>380193</v>
      </c>
      <c r="E15" s="3">
        <f>8000+100782+23400+165000+12900+39600</f>
        <v>349682</v>
      </c>
      <c r="F15" s="3">
        <f t="shared" si="0"/>
        <v>30511</v>
      </c>
      <c r="G15" s="220">
        <f>D15+D16</f>
        <v>938813</v>
      </c>
      <c r="H15" s="220">
        <f>E15+E16</f>
        <v>764527</v>
      </c>
      <c r="I15" s="221">
        <f>G15-H15</f>
        <v>174286</v>
      </c>
      <c r="J15"/>
      <c r="K15"/>
      <c r="L15"/>
      <c r="M15"/>
      <c r="N15"/>
    </row>
    <row r="16" spans="1:14" s="1" customFormat="1" ht="15" thickBot="1" x14ac:dyDescent="0.35">
      <c r="A16" s="194"/>
      <c r="B16" s="197"/>
      <c r="C16" s="61" t="s">
        <v>9</v>
      </c>
      <c r="D16" s="22">
        <v>558620</v>
      </c>
      <c r="E16" s="2">
        <f>414845</f>
        <v>414845</v>
      </c>
      <c r="F16" s="2">
        <f t="shared" si="0"/>
        <v>143775</v>
      </c>
      <c r="G16" s="198"/>
      <c r="H16" s="198"/>
      <c r="I16" s="200"/>
      <c r="J16"/>
      <c r="K16"/>
      <c r="L16"/>
      <c r="M16"/>
      <c r="N16"/>
    </row>
    <row r="17" spans="1:20" s="1" customFormat="1" x14ac:dyDescent="0.3">
      <c r="A17" s="194" t="s">
        <v>18</v>
      </c>
      <c r="B17" s="196">
        <v>45787</v>
      </c>
      <c r="C17" s="61" t="s">
        <v>8</v>
      </c>
      <c r="D17" s="22">
        <v>431110</v>
      </c>
      <c r="E17" s="2">
        <f>8000+74500+11688+15000</f>
        <v>109188</v>
      </c>
      <c r="F17" s="2">
        <f t="shared" si="0"/>
        <v>321922</v>
      </c>
      <c r="G17" s="198">
        <f>D17+D18</f>
        <v>1092696</v>
      </c>
      <c r="H17" s="198">
        <f>E17+E18</f>
        <v>887564</v>
      </c>
      <c r="I17" s="200">
        <f>G17-H17</f>
        <v>205132</v>
      </c>
      <c r="J17"/>
      <c r="K17"/>
      <c r="L17"/>
      <c r="M17"/>
      <c r="N17"/>
    </row>
    <row r="18" spans="1:20" s="1" customFormat="1" ht="15" thickBot="1" x14ac:dyDescent="0.35">
      <c r="A18" s="194"/>
      <c r="B18" s="197"/>
      <c r="C18" s="61" t="s">
        <v>9</v>
      </c>
      <c r="D18" s="22">
        <v>661586</v>
      </c>
      <c r="E18" s="2">
        <f>248376+530000</f>
        <v>778376</v>
      </c>
      <c r="F18" s="2">
        <f t="shared" si="0"/>
        <v>-116790</v>
      </c>
      <c r="G18" s="198"/>
      <c r="H18" s="198"/>
      <c r="I18" s="200"/>
      <c r="J18"/>
      <c r="K18"/>
      <c r="L18"/>
    </row>
    <row r="19" spans="1:20" s="1" customFormat="1" ht="14.25" customHeight="1" x14ac:dyDescent="0.3">
      <c r="A19" s="194" t="s">
        <v>19</v>
      </c>
      <c r="B19" s="196">
        <v>45788</v>
      </c>
      <c r="C19" s="66" t="s">
        <v>8</v>
      </c>
      <c r="D19" s="44">
        <v>431826</v>
      </c>
      <c r="E19" s="45">
        <f>8000+22000+83401+26500</f>
        <v>139901</v>
      </c>
      <c r="F19" s="45">
        <f t="shared" si="0"/>
        <v>291925</v>
      </c>
      <c r="G19" s="211">
        <f>D19+D20</f>
        <v>942436</v>
      </c>
      <c r="H19" s="211">
        <f>E19+E20</f>
        <v>265071</v>
      </c>
      <c r="I19" s="212">
        <f>G19-H19</f>
        <v>677365</v>
      </c>
      <c r="J19" s="210"/>
      <c r="K19"/>
      <c r="L19"/>
    </row>
    <row r="20" spans="1:20" s="1" customFormat="1" ht="15" thickBot="1" x14ac:dyDescent="0.35">
      <c r="A20" s="194"/>
      <c r="B20" s="197"/>
      <c r="C20" s="66" t="s">
        <v>9</v>
      </c>
      <c r="D20" s="44">
        <v>510610</v>
      </c>
      <c r="E20" s="45">
        <f>125170</f>
        <v>125170</v>
      </c>
      <c r="F20" s="45">
        <f t="shared" si="0"/>
        <v>385440</v>
      </c>
      <c r="G20" s="211"/>
      <c r="H20" s="211"/>
      <c r="I20" s="212"/>
      <c r="J20" s="210"/>
      <c r="K20"/>
      <c r="L20"/>
    </row>
    <row r="21" spans="1:20" s="1" customFormat="1" x14ac:dyDescent="0.3">
      <c r="A21" s="194" t="s">
        <v>15</v>
      </c>
      <c r="B21" s="196">
        <v>45789</v>
      </c>
      <c r="C21" s="104" t="s">
        <v>8</v>
      </c>
      <c r="D21" s="2">
        <v>585508</v>
      </c>
      <c r="E21" s="2">
        <f>8000+26500+76420+92200+130100+80000</f>
        <v>413220</v>
      </c>
      <c r="F21" s="2">
        <f t="shared" si="0"/>
        <v>172288</v>
      </c>
      <c r="G21" s="198">
        <f>D21+D22</f>
        <v>1082958</v>
      </c>
      <c r="H21" s="198">
        <f>E21+E22</f>
        <v>660882</v>
      </c>
      <c r="I21" s="200">
        <f>G21-H21</f>
        <v>422076</v>
      </c>
      <c r="J21"/>
      <c r="K21"/>
      <c r="L21"/>
      <c r="M21"/>
      <c r="N21"/>
    </row>
    <row r="22" spans="1:20" s="1" customFormat="1" ht="15" thickBot="1" x14ac:dyDescent="0.35">
      <c r="A22" s="194"/>
      <c r="B22" s="197"/>
      <c r="C22" s="104" t="s">
        <v>9</v>
      </c>
      <c r="D22" s="2">
        <v>497450</v>
      </c>
      <c r="E22" s="2">
        <f>207662+40000</f>
        <v>247662</v>
      </c>
      <c r="F22" s="2">
        <f t="shared" si="0"/>
        <v>249788</v>
      </c>
      <c r="G22" s="198"/>
      <c r="H22" s="198"/>
      <c r="I22" s="200"/>
      <c r="J22"/>
      <c r="K22"/>
      <c r="L22"/>
      <c r="M22"/>
      <c r="N22"/>
    </row>
    <row r="23" spans="1:20" x14ac:dyDescent="0.3">
      <c r="A23" s="194" t="s">
        <v>16</v>
      </c>
      <c r="B23" s="196">
        <v>45790</v>
      </c>
      <c r="C23" s="104" t="s">
        <v>8</v>
      </c>
      <c r="D23" s="2">
        <v>522449</v>
      </c>
      <c r="E23" s="2">
        <f>8000+46000+18200+90969</f>
        <v>163169</v>
      </c>
      <c r="F23" s="2">
        <f t="shared" si="0"/>
        <v>359280</v>
      </c>
      <c r="G23" s="198">
        <f>D23+D24</f>
        <v>1146992</v>
      </c>
      <c r="H23" s="198">
        <f>E23+E24</f>
        <v>705175</v>
      </c>
      <c r="I23" s="200">
        <f>G23-H23</f>
        <v>441817</v>
      </c>
      <c r="J23" s="292"/>
    </row>
    <row r="24" spans="1:20" ht="15" thickBot="1" x14ac:dyDescent="0.35">
      <c r="A24" s="195"/>
      <c r="B24" s="197"/>
      <c r="C24" s="105" t="s">
        <v>9</v>
      </c>
      <c r="D24" s="2">
        <v>624543</v>
      </c>
      <c r="E24" s="2">
        <f>542006</f>
        <v>542006</v>
      </c>
      <c r="F24" s="2">
        <f t="shared" si="0"/>
        <v>82537</v>
      </c>
      <c r="G24" s="198"/>
      <c r="H24" s="198"/>
      <c r="I24" s="201"/>
      <c r="J24" s="293"/>
    </row>
    <row r="25" spans="1:20" x14ac:dyDescent="0.3">
      <c r="A25" s="333" t="s">
        <v>13</v>
      </c>
      <c r="B25" s="335">
        <v>45791</v>
      </c>
      <c r="C25" s="115" t="s">
        <v>8</v>
      </c>
      <c r="D25" s="116">
        <v>355083</v>
      </c>
      <c r="E25" s="116">
        <v>8000</v>
      </c>
      <c r="F25" s="116">
        <f t="shared" si="0"/>
        <v>347083</v>
      </c>
      <c r="G25" s="336">
        <f>D25+D26</f>
        <v>563706</v>
      </c>
      <c r="H25" s="336">
        <f>E25+E26</f>
        <v>55500</v>
      </c>
      <c r="I25" s="337">
        <f>G25-H25</f>
        <v>508206</v>
      </c>
      <c r="J25" s="40"/>
    </row>
    <row r="26" spans="1:20" ht="15" thickBot="1" x14ac:dyDescent="0.35">
      <c r="A26" s="334"/>
      <c r="B26" s="320"/>
      <c r="C26" s="117" t="s">
        <v>35</v>
      </c>
      <c r="D26" s="116">
        <v>208623</v>
      </c>
      <c r="E26" s="116">
        <v>47500</v>
      </c>
      <c r="F26" s="116">
        <f t="shared" si="0"/>
        <v>161123</v>
      </c>
      <c r="G26" s="336"/>
      <c r="H26" s="336"/>
      <c r="I26" s="338"/>
      <c r="J26" t="s">
        <v>43</v>
      </c>
    </row>
    <row r="27" spans="1:20" s="1" customFormat="1" x14ac:dyDescent="0.3">
      <c r="A27" s="325" t="s">
        <v>17</v>
      </c>
      <c r="B27" s="327">
        <v>45793</v>
      </c>
      <c r="C27" s="124" t="s">
        <v>8</v>
      </c>
      <c r="D27" s="120">
        <v>169243</v>
      </c>
      <c r="E27" s="120">
        <f>22000+24000</f>
        <v>46000</v>
      </c>
      <c r="F27" s="120">
        <f>D27-E27</f>
        <v>123243</v>
      </c>
      <c r="G27" s="329">
        <f>D27+D28</f>
        <v>530893</v>
      </c>
      <c r="H27" s="329">
        <f>E27+E28</f>
        <v>57000</v>
      </c>
      <c r="I27" s="331">
        <f>G27-H27</f>
        <v>473893</v>
      </c>
      <c r="J27" s="339" t="s">
        <v>53</v>
      </c>
      <c r="K27"/>
      <c r="L27"/>
      <c r="M27"/>
      <c r="N27"/>
      <c r="O27"/>
      <c r="P27"/>
      <c r="S27" s="85"/>
      <c r="T27" t="s">
        <v>52</v>
      </c>
    </row>
    <row r="28" spans="1:20" s="1" customFormat="1" ht="15" thickBot="1" x14ac:dyDescent="0.35">
      <c r="A28" s="325"/>
      <c r="B28" s="328"/>
      <c r="C28" s="124" t="s">
        <v>9</v>
      </c>
      <c r="D28" s="120">
        <v>361650</v>
      </c>
      <c r="E28" s="120">
        <f>7000+4000</f>
        <v>11000</v>
      </c>
      <c r="F28" s="120">
        <f>D28-E28</f>
        <v>350650</v>
      </c>
      <c r="G28" s="329"/>
      <c r="H28" s="329"/>
      <c r="I28" s="331"/>
      <c r="J28" s="339"/>
      <c r="K28"/>
      <c r="L28"/>
      <c r="M28"/>
      <c r="N28"/>
      <c r="O28"/>
      <c r="P28"/>
      <c r="S28" s="43"/>
      <c r="T28" t="s">
        <v>41</v>
      </c>
    </row>
    <row r="29" spans="1:20" s="1" customFormat="1" x14ac:dyDescent="0.3">
      <c r="A29" s="194" t="s">
        <v>18</v>
      </c>
      <c r="B29" s="196">
        <v>45794</v>
      </c>
      <c r="C29" s="104" t="s">
        <v>8</v>
      </c>
      <c r="D29" s="2">
        <v>423217</v>
      </c>
      <c r="E29" s="2">
        <f>8000+131000+22000+38500+39600+165000</f>
        <v>404100</v>
      </c>
      <c r="F29" s="2">
        <f t="shared" si="0"/>
        <v>19117</v>
      </c>
      <c r="G29" s="198">
        <f>D29+D30</f>
        <v>973271</v>
      </c>
      <c r="H29" s="198">
        <f>E29+E30</f>
        <v>885809</v>
      </c>
      <c r="I29" s="200">
        <f>G29-H29</f>
        <v>87462</v>
      </c>
      <c r="J29"/>
      <c r="K29"/>
      <c r="L29"/>
      <c r="M29"/>
      <c r="N29"/>
      <c r="O29"/>
      <c r="P29"/>
    </row>
    <row r="30" spans="1:20" s="1" customFormat="1" ht="15" thickBot="1" x14ac:dyDescent="0.35">
      <c r="A30" s="194"/>
      <c r="B30" s="197"/>
      <c r="C30" s="104" t="s">
        <v>9</v>
      </c>
      <c r="D30" s="2">
        <v>550054</v>
      </c>
      <c r="E30" s="2">
        <f>228842+45000+20000+16000+2846+32221+136800</f>
        <v>481709</v>
      </c>
      <c r="F30" s="2">
        <f t="shared" si="0"/>
        <v>68345</v>
      </c>
      <c r="G30" s="198"/>
      <c r="H30" s="198"/>
      <c r="I30" s="200"/>
      <c r="J30"/>
      <c r="K30"/>
      <c r="L30"/>
      <c r="M30"/>
      <c r="N30"/>
      <c r="O30"/>
      <c r="P30"/>
    </row>
    <row r="31" spans="1:20" s="1" customFormat="1" ht="14.25" customHeight="1" x14ac:dyDescent="0.3">
      <c r="A31" s="194" t="s">
        <v>19</v>
      </c>
      <c r="B31" s="196">
        <v>45795</v>
      </c>
      <c r="C31" s="66" t="s">
        <v>8</v>
      </c>
      <c r="D31" s="44">
        <v>534766</v>
      </c>
      <c r="E31" s="45">
        <f>8000+16000+232734+50929+57500+23000</f>
        <v>388163</v>
      </c>
      <c r="F31" s="45">
        <f t="shared" si="0"/>
        <v>146603</v>
      </c>
      <c r="G31" s="211">
        <f>D31+D32</f>
        <v>1021036</v>
      </c>
      <c r="H31" s="211">
        <f>E31+E32</f>
        <v>945948</v>
      </c>
      <c r="I31" s="212">
        <f>G31-H31</f>
        <v>75088</v>
      </c>
      <c r="J31" s="210"/>
      <c r="K31"/>
      <c r="L31"/>
      <c r="O31"/>
      <c r="P31"/>
    </row>
    <row r="32" spans="1:20" s="1" customFormat="1" ht="15" thickBot="1" x14ac:dyDescent="0.35">
      <c r="A32" s="194"/>
      <c r="B32" s="197"/>
      <c r="C32" s="66" t="s">
        <v>9</v>
      </c>
      <c r="D32" s="44">
        <v>486270</v>
      </c>
      <c r="E32" s="45">
        <f>15000+83522+100000+59263+300000</f>
        <v>557785</v>
      </c>
      <c r="F32" s="45">
        <f t="shared" si="0"/>
        <v>-71515</v>
      </c>
      <c r="G32" s="211"/>
      <c r="H32" s="211"/>
      <c r="I32" s="212"/>
      <c r="J32" s="210"/>
      <c r="K32"/>
      <c r="L32"/>
      <c r="O32"/>
      <c r="P32"/>
    </row>
    <row r="33" spans="1:16" s="1" customFormat="1" x14ac:dyDescent="0.3">
      <c r="A33" s="194" t="s">
        <v>15</v>
      </c>
      <c r="B33" s="196">
        <v>45796</v>
      </c>
      <c r="C33" s="61" t="s">
        <v>8</v>
      </c>
      <c r="D33" s="22">
        <v>436107</v>
      </c>
      <c r="E33" s="2">
        <f>8000+22000+58760+84570+444237</f>
        <v>617567</v>
      </c>
      <c r="F33" s="2">
        <f t="shared" si="0"/>
        <v>-181460</v>
      </c>
      <c r="G33" s="198">
        <f>D33+D34</f>
        <v>1022448</v>
      </c>
      <c r="H33" s="198">
        <f>E33+E34</f>
        <v>1017567</v>
      </c>
      <c r="I33" s="200">
        <f>G33-H33</f>
        <v>4881</v>
      </c>
      <c r="J33"/>
      <c r="K33"/>
      <c r="L33"/>
      <c r="O33"/>
      <c r="P33"/>
    </row>
    <row r="34" spans="1:16" s="1" customFormat="1" ht="15" thickBot="1" x14ac:dyDescent="0.35">
      <c r="A34" s="194"/>
      <c r="B34" s="197"/>
      <c r="C34" s="61" t="s">
        <v>9</v>
      </c>
      <c r="D34" s="22">
        <v>586341</v>
      </c>
      <c r="E34" s="2">
        <v>400000</v>
      </c>
      <c r="F34" s="2">
        <f t="shared" si="0"/>
        <v>186341</v>
      </c>
      <c r="G34" s="198"/>
      <c r="H34" s="198"/>
      <c r="I34" s="200"/>
      <c r="J34"/>
      <c r="K34"/>
      <c r="L34"/>
      <c r="M34"/>
      <c r="N34"/>
      <c r="O34"/>
      <c r="P34"/>
    </row>
    <row r="35" spans="1:16" x14ac:dyDescent="0.3">
      <c r="A35" s="325" t="s">
        <v>16</v>
      </c>
      <c r="B35" s="327">
        <v>45797</v>
      </c>
      <c r="C35" s="118" t="s">
        <v>8</v>
      </c>
      <c r="D35" s="119">
        <v>299510</v>
      </c>
      <c r="E35" s="120">
        <f>8000+70000+10000+45000+46000</f>
        <v>179000</v>
      </c>
      <c r="F35" s="120">
        <f t="shared" si="0"/>
        <v>120510</v>
      </c>
      <c r="G35" s="329">
        <f>D35+D36</f>
        <v>689200</v>
      </c>
      <c r="H35" s="329">
        <f>E35+E36</f>
        <v>470800</v>
      </c>
      <c r="I35" s="331">
        <f>G35-H35</f>
        <v>218400</v>
      </c>
      <c r="J35" s="339" t="s">
        <v>53</v>
      </c>
    </row>
    <row r="36" spans="1:16" ht="15" thickBot="1" x14ac:dyDescent="0.35">
      <c r="A36" s="326"/>
      <c r="B36" s="328"/>
      <c r="C36" s="121" t="s">
        <v>9</v>
      </c>
      <c r="D36" s="122">
        <v>389690</v>
      </c>
      <c r="E36" s="123">
        <v>291800</v>
      </c>
      <c r="F36" s="123">
        <f t="shared" si="0"/>
        <v>97890</v>
      </c>
      <c r="G36" s="330"/>
      <c r="H36" s="330"/>
      <c r="I36" s="332"/>
      <c r="J36" s="339"/>
    </row>
    <row r="37" spans="1:16" x14ac:dyDescent="0.3">
      <c r="A37" s="202" t="s">
        <v>13</v>
      </c>
      <c r="B37" s="204">
        <v>45798</v>
      </c>
      <c r="C37" s="77" t="s">
        <v>8</v>
      </c>
      <c r="D37" s="35">
        <v>211961</v>
      </c>
      <c r="E37" s="36">
        <f>8000+88000</f>
        <v>96000</v>
      </c>
      <c r="F37" s="36">
        <f t="shared" si="0"/>
        <v>115961</v>
      </c>
      <c r="G37" s="206">
        <f>D37+D38</f>
        <v>597141</v>
      </c>
      <c r="H37" s="206">
        <f>E37+E38</f>
        <v>631605</v>
      </c>
      <c r="I37" s="208">
        <f>G37-H37</f>
        <v>-34464</v>
      </c>
    </row>
    <row r="38" spans="1:16" ht="15" thickBot="1" x14ac:dyDescent="0.35">
      <c r="A38" s="203"/>
      <c r="B38" s="280"/>
      <c r="C38" s="78" t="s">
        <v>9</v>
      </c>
      <c r="D38" s="37">
        <v>385180</v>
      </c>
      <c r="E38" s="38">
        <f>535605</f>
        <v>535605</v>
      </c>
      <c r="F38" s="38">
        <f t="shared" si="0"/>
        <v>-150425</v>
      </c>
      <c r="G38" s="207"/>
      <c r="H38" s="207"/>
      <c r="I38" s="209"/>
    </row>
    <row r="39" spans="1:16" x14ac:dyDescent="0.3">
      <c r="A39" s="226" t="s">
        <v>17</v>
      </c>
      <c r="B39" s="227">
        <v>45800</v>
      </c>
      <c r="C39" s="76" t="s">
        <v>8</v>
      </c>
      <c r="D39" s="30">
        <v>293564</v>
      </c>
      <c r="E39" s="11">
        <f>8000+11000+441168</f>
        <v>460168</v>
      </c>
      <c r="F39" s="11">
        <f t="shared" si="0"/>
        <v>-166604</v>
      </c>
      <c r="G39" s="224">
        <f>D39+D40</f>
        <v>709134</v>
      </c>
      <c r="H39" s="224">
        <f>E39+E40</f>
        <v>560861</v>
      </c>
      <c r="I39" s="228">
        <f>G39-H39</f>
        <v>148273</v>
      </c>
    </row>
    <row r="40" spans="1:16" ht="15" thickBot="1" x14ac:dyDescent="0.35">
      <c r="A40" s="222"/>
      <c r="B40" s="197"/>
      <c r="C40" s="62" t="s">
        <v>9</v>
      </c>
      <c r="D40" s="27">
        <v>415570</v>
      </c>
      <c r="E40" s="10">
        <f>1600+61093+38000</f>
        <v>100693</v>
      </c>
      <c r="F40" s="10">
        <f t="shared" si="0"/>
        <v>314877</v>
      </c>
      <c r="G40" s="223"/>
      <c r="H40" s="223"/>
      <c r="I40" s="225"/>
    </row>
    <row r="41" spans="1:16" x14ac:dyDescent="0.3">
      <c r="A41" s="226" t="s">
        <v>18</v>
      </c>
      <c r="B41" s="227">
        <v>45801</v>
      </c>
      <c r="C41" s="76" t="s">
        <v>8</v>
      </c>
      <c r="D41" s="30">
        <v>339695</v>
      </c>
      <c r="E41" s="11">
        <f>8000+50000+13650+35412</f>
        <v>107062</v>
      </c>
      <c r="F41" s="11">
        <f>D41-E41</f>
        <v>232633</v>
      </c>
      <c r="G41" s="224">
        <f>D41+D42</f>
        <v>829298</v>
      </c>
      <c r="H41" s="224">
        <f>E41+E42</f>
        <v>196562</v>
      </c>
      <c r="I41" s="228">
        <f>G41-H41</f>
        <v>632736</v>
      </c>
    </row>
    <row r="42" spans="1:16" ht="15" thickBot="1" x14ac:dyDescent="0.35">
      <c r="A42" s="222"/>
      <c r="B42" s="197"/>
      <c r="C42" s="62" t="s">
        <v>9</v>
      </c>
      <c r="D42" s="27">
        <v>489603</v>
      </c>
      <c r="E42" s="10">
        <f>38000+45000+6500</f>
        <v>89500</v>
      </c>
      <c r="F42" s="10">
        <f>D42-E42</f>
        <v>400103</v>
      </c>
      <c r="G42" s="223"/>
      <c r="H42" s="223"/>
      <c r="I42" s="225"/>
    </row>
    <row r="43" spans="1:16" x14ac:dyDescent="0.3">
      <c r="A43" s="226" t="s">
        <v>14</v>
      </c>
      <c r="B43" s="227">
        <v>45802</v>
      </c>
      <c r="C43" s="76" t="s">
        <v>8</v>
      </c>
      <c r="D43" s="30">
        <v>414874</v>
      </c>
      <c r="E43" s="11">
        <f>8000+440453</f>
        <v>448453</v>
      </c>
      <c r="F43" s="11">
        <f>D43-E43</f>
        <v>-33579</v>
      </c>
      <c r="G43" s="224">
        <f>D43+D44</f>
        <v>1000951</v>
      </c>
      <c r="H43" s="224">
        <f>E43+E44</f>
        <v>904116</v>
      </c>
      <c r="I43" s="228">
        <f>G43-H43</f>
        <v>96835</v>
      </c>
    </row>
    <row r="44" spans="1:16" ht="15" thickBot="1" x14ac:dyDescent="0.35">
      <c r="A44" s="222"/>
      <c r="B44" s="197"/>
      <c r="C44" s="62" t="s">
        <v>9</v>
      </c>
      <c r="D44" s="27">
        <v>586077</v>
      </c>
      <c r="E44" s="10">
        <f>59263+34400+46000+20000+131000+165000</f>
        <v>455663</v>
      </c>
      <c r="F44" s="10">
        <f>D44-E44</f>
        <v>130414</v>
      </c>
      <c r="G44" s="223"/>
      <c r="H44" s="223"/>
      <c r="I44" s="225"/>
      <c r="M44" s="13" t="s">
        <v>2</v>
      </c>
      <c r="N44" s="12">
        <v>1</v>
      </c>
    </row>
    <row r="45" spans="1:16" s="1" customFormat="1" x14ac:dyDescent="0.3">
      <c r="A45" s="194" t="s">
        <v>15</v>
      </c>
      <c r="B45" s="227">
        <v>45803</v>
      </c>
      <c r="C45" s="61" t="s">
        <v>8</v>
      </c>
      <c r="D45" s="22">
        <v>371028</v>
      </c>
      <c r="E45" s="2">
        <f>8000+32000+53480+131000</f>
        <v>224480</v>
      </c>
      <c r="F45" s="2">
        <f t="shared" ref="F45:F52" si="1">D45-E45</f>
        <v>146548</v>
      </c>
      <c r="G45" s="198">
        <f>D45+D46</f>
        <v>907556</v>
      </c>
      <c r="H45" s="198">
        <f>E45+E46</f>
        <v>539247</v>
      </c>
      <c r="I45" s="200">
        <f>G45-H45</f>
        <v>368309</v>
      </c>
      <c r="J45"/>
      <c r="K45"/>
      <c r="L45"/>
      <c r="M45" s="14" t="s">
        <v>11</v>
      </c>
      <c r="N45" s="17">
        <f>H53*100/G53/100</f>
        <v>0.65417566358050305</v>
      </c>
      <c r="O45"/>
      <c r="P45"/>
    </row>
    <row r="46" spans="1:16" s="1" customFormat="1" x14ac:dyDescent="0.3">
      <c r="A46" s="194"/>
      <c r="B46" s="197"/>
      <c r="C46" s="61" t="s">
        <v>9</v>
      </c>
      <c r="D46" s="22">
        <v>536528</v>
      </c>
      <c r="E46" s="2">
        <f>26500+12800+59263+216204</f>
        <v>314767</v>
      </c>
      <c r="F46" s="2">
        <f t="shared" si="1"/>
        <v>221761</v>
      </c>
      <c r="G46" s="198"/>
      <c r="H46" s="198"/>
      <c r="I46" s="200"/>
      <c r="J46"/>
      <c r="K46"/>
      <c r="L46"/>
      <c r="M46" s="15" t="s">
        <v>3</v>
      </c>
      <c r="N46" s="16">
        <f>(100%-N45)</f>
        <v>0.34582433641949695</v>
      </c>
      <c r="O46"/>
      <c r="P46"/>
    </row>
    <row r="47" spans="1:16" x14ac:dyDescent="0.3">
      <c r="A47" s="194" t="s">
        <v>16</v>
      </c>
      <c r="B47" s="227">
        <v>45804</v>
      </c>
      <c r="C47" s="61" t="s">
        <v>8</v>
      </c>
      <c r="D47" s="22">
        <v>525659</v>
      </c>
      <c r="E47" s="2">
        <f>8000+82600+60458+520086</f>
        <v>671144</v>
      </c>
      <c r="F47" s="2">
        <f t="shared" si="1"/>
        <v>-145485</v>
      </c>
      <c r="G47" s="198">
        <f>D47+D48</f>
        <v>1085434</v>
      </c>
      <c r="H47" s="198">
        <f>E47+E48</f>
        <v>929144</v>
      </c>
      <c r="I47" s="200">
        <f>G47-H47</f>
        <v>156290</v>
      </c>
    </row>
    <row r="48" spans="1:16" ht="15" thickBot="1" x14ac:dyDescent="0.35">
      <c r="A48" s="222"/>
      <c r="B48" s="197"/>
      <c r="C48" s="62" t="s">
        <v>9</v>
      </c>
      <c r="D48" s="27">
        <v>559775</v>
      </c>
      <c r="E48" s="10">
        <f>113000+120000+10000+15000</f>
        <v>258000</v>
      </c>
      <c r="F48" s="10">
        <f t="shared" si="1"/>
        <v>301775</v>
      </c>
      <c r="G48" s="223"/>
      <c r="H48" s="223"/>
      <c r="I48" s="225"/>
    </row>
    <row r="49" spans="1:17" x14ac:dyDescent="0.3">
      <c r="A49" s="317" t="s">
        <v>13</v>
      </c>
      <c r="B49" s="319">
        <v>45805</v>
      </c>
      <c r="C49" s="109" t="s">
        <v>8</v>
      </c>
      <c r="D49" s="110">
        <v>243406</v>
      </c>
      <c r="E49" s="111">
        <f>88000</f>
        <v>88000</v>
      </c>
      <c r="F49" s="111">
        <f t="shared" si="1"/>
        <v>155406</v>
      </c>
      <c r="G49" s="321">
        <f>D49+D50</f>
        <v>692382</v>
      </c>
      <c r="H49" s="321">
        <f>E49+E50</f>
        <v>140400</v>
      </c>
      <c r="I49" s="323">
        <f>G49-H49</f>
        <v>551982</v>
      </c>
    </row>
    <row r="50" spans="1:17" ht="15" thickBot="1" x14ac:dyDescent="0.35">
      <c r="A50" s="318"/>
      <c r="B50" s="320"/>
      <c r="C50" s="112" t="s">
        <v>9</v>
      </c>
      <c r="D50" s="113">
        <v>448976</v>
      </c>
      <c r="E50" s="114">
        <f>8000+34400+10000</f>
        <v>52400</v>
      </c>
      <c r="F50" s="114">
        <f t="shared" si="1"/>
        <v>396576</v>
      </c>
      <c r="G50" s="322"/>
      <c r="H50" s="322"/>
      <c r="I50" s="324"/>
    </row>
    <row r="51" spans="1:17" x14ac:dyDescent="0.3">
      <c r="A51" s="226" t="s">
        <v>17</v>
      </c>
      <c r="B51" s="227">
        <v>45838</v>
      </c>
      <c r="C51" s="76" t="s">
        <v>8</v>
      </c>
      <c r="D51" s="30">
        <v>429528</v>
      </c>
      <c r="E51" s="11">
        <f>272792</f>
        <v>272792</v>
      </c>
      <c r="F51" s="11">
        <f t="shared" si="1"/>
        <v>156736</v>
      </c>
      <c r="G51" s="224">
        <f>D51+D52</f>
        <v>990845</v>
      </c>
      <c r="H51" s="224">
        <f>E51+E52</f>
        <v>462527</v>
      </c>
      <c r="I51" s="228">
        <f>G51-H51</f>
        <v>528318</v>
      </c>
    </row>
    <row r="52" spans="1:17" ht="15" thickBot="1" x14ac:dyDescent="0.35">
      <c r="A52" s="222"/>
      <c r="B52" s="197"/>
      <c r="C52" s="62" t="s">
        <v>9</v>
      </c>
      <c r="D52" s="27">
        <v>561317</v>
      </c>
      <c r="E52" s="10">
        <f>68735+46000+60000+15000</f>
        <v>189735</v>
      </c>
      <c r="F52" s="10">
        <f t="shared" si="1"/>
        <v>371582</v>
      </c>
      <c r="G52" s="223"/>
      <c r="H52" s="223"/>
      <c r="I52" s="225"/>
    </row>
    <row r="53" spans="1:17" s="1" customFormat="1" ht="15" thickBot="1" x14ac:dyDescent="0.35">
      <c r="A53"/>
      <c r="B53" s="277" t="s">
        <v>10</v>
      </c>
      <c r="C53" s="278"/>
      <c r="D53" s="50">
        <f t="shared" ref="D53:I53" si="2">SUM(D3:D52)</f>
        <v>22712881</v>
      </c>
      <c r="E53" s="50">
        <f t="shared" si="2"/>
        <v>14858214</v>
      </c>
      <c r="F53" s="50">
        <f t="shared" si="2"/>
        <v>7854667</v>
      </c>
      <c r="G53" s="50">
        <f t="shared" si="2"/>
        <v>22712881</v>
      </c>
      <c r="H53" s="50">
        <f t="shared" si="2"/>
        <v>14858214</v>
      </c>
      <c r="I53" s="50">
        <f t="shared" si="2"/>
        <v>7854667</v>
      </c>
      <c r="J53"/>
      <c r="K53" s="39"/>
      <c r="L53"/>
      <c r="M53"/>
      <c r="N53"/>
      <c r="O53"/>
      <c r="P53"/>
    </row>
    <row r="54" spans="1:17" s="1" customFormat="1" x14ac:dyDescent="0.3">
      <c r="A54"/>
      <c r="J54"/>
      <c r="K54" s="39"/>
      <c r="L54"/>
      <c r="M54"/>
      <c r="N54"/>
      <c r="O54"/>
      <c r="P54"/>
    </row>
    <row r="55" spans="1:17" s="1" customFormat="1" x14ac:dyDescent="0.3">
      <c r="A55"/>
      <c r="J55"/>
      <c r="K55" s="39"/>
      <c r="L55"/>
      <c r="M55"/>
      <c r="N55"/>
      <c r="O55"/>
      <c r="P55"/>
    </row>
    <row r="56" spans="1:17" s="1" customFormat="1" x14ac:dyDescent="0.3">
      <c r="A56"/>
      <c r="J56"/>
      <c r="K56" s="39"/>
      <c r="L56"/>
      <c r="M56"/>
      <c r="N56"/>
    </row>
    <row r="57" spans="1:17" x14ac:dyDescent="0.3">
      <c r="K57" s="39"/>
    </row>
    <row r="58" spans="1:17" x14ac:dyDescent="0.3">
      <c r="D58" s="20" t="s">
        <v>21</v>
      </c>
      <c r="E58" s="2">
        <f>MAXA(D3:D52)</f>
        <v>661586</v>
      </c>
      <c r="F58" s="283">
        <v>45751</v>
      </c>
      <c r="G58" s="187"/>
      <c r="K58" s="39"/>
    </row>
    <row r="59" spans="1:17" x14ac:dyDescent="0.3">
      <c r="D59" s="21" t="s">
        <v>22</v>
      </c>
      <c r="E59" s="2">
        <f>IF(MINA(D3:D52)&lt;&gt;0, MINA(D3:D30))</f>
        <v>169243</v>
      </c>
      <c r="F59" s="283">
        <v>45749</v>
      </c>
      <c r="G59" s="187"/>
      <c r="K59" s="39"/>
    </row>
    <row r="60" spans="1:17" s="1" customFormat="1" x14ac:dyDescent="0.3">
      <c r="A60"/>
      <c r="C60" s="1" t="s">
        <v>20</v>
      </c>
      <c r="J60"/>
      <c r="K60"/>
      <c r="L60"/>
      <c r="M60"/>
      <c r="N60"/>
    </row>
    <row r="61" spans="1:17" x14ac:dyDescent="0.3">
      <c r="D61" s="192" t="s">
        <v>36</v>
      </c>
      <c r="E61" s="18">
        <f>AVERAGEA(D3:D14)</f>
        <v>491307.58333333331</v>
      </c>
      <c r="F61" s="187" t="s">
        <v>23</v>
      </c>
      <c r="G61" s="187"/>
      <c r="I61" s="193" t="s">
        <v>37</v>
      </c>
      <c r="J61" s="18">
        <f>AVERAGEA(E3:E14)</f>
        <v>314825.75</v>
      </c>
      <c r="K61" s="187" t="s">
        <v>23</v>
      </c>
      <c r="L61" s="187"/>
      <c r="N61" s="188" t="s">
        <v>38</v>
      </c>
      <c r="O61" s="18">
        <f>AVERAGEA(F3:F14)</f>
        <v>176481.83333333334</v>
      </c>
      <c r="P61" s="187" t="s">
        <v>23</v>
      </c>
      <c r="Q61" s="187"/>
    </row>
    <row r="62" spans="1:17" x14ac:dyDescent="0.3">
      <c r="D62" s="192"/>
      <c r="E62" s="18">
        <f>AVERAGEA(G15:G26)</f>
        <v>961266.83333333337</v>
      </c>
      <c r="F62" s="187" t="s">
        <v>24</v>
      </c>
      <c r="G62" s="187"/>
      <c r="I62" s="193"/>
      <c r="J62" s="18">
        <f>AVERAGEA(H15:H26)</f>
        <v>556453.16666666663</v>
      </c>
      <c r="K62" s="187" t="s">
        <v>24</v>
      </c>
      <c r="L62" s="187"/>
      <c r="N62" s="188"/>
      <c r="O62" s="18">
        <f>AVERAGEA(F15:F26)</f>
        <v>202406.83333333334</v>
      </c>
      <c r="P62" s="187" t="s">
        <v>24</v>
      </c>
      <c r="Q62" s="187"/>
    </row>
    <row r="63" spans="1:17" x14ac:dyDescent="0.3">
      <c r="D63" s="192"/>
      <c r="E63" s="18">
        <f>AVERAGEA(G27:G38)</f>
        <v>805664.83333333337</v>
      </c>
      <c r="F63" s="187" t="s">
        <v>25</v>
      </c>
      <c r="G63" s="187"/>
      <c r="I63" s="193"/>
      <c r="J63" s="18">
        <f>AVERAGEA(H27:H38)</f>
        <v>668121.5</v>
      </c>
      <c r="K63" s="187" t="s">
        <v>25</v>
      </c>
      <c r="L63" s="187"/>
      <c r="N63" s="188"/>
      <c r="O63" s="18">
        <f>AVERAGEA(F27:F38)</f>
        <v>68771.666666666672</v>
      </c>
      <c r="P63" s="187" t="s">
        <v>25</v>
      </c>
      <c r="Q63" s="187"/>
    </row>
    <row r="64" spans="1:17" x14ac:dyDescent="0.3">
      <c r="D64" s="192"/>
      <c r="E64" s="18">
        <f>AVERAGEA(G39:G50)</f>
        <v>870792.5</v>
      </c>
      <c r="F64" s="184" t="s">
        <v>26</v>
      </c>
      <c r="G64" s="185"/>
      <c r="I64" s="193"/>
      <c r="J64" s="18">
        <f>AVERAGEA(H39:H50)</f>
        <v>545055</v>
      </c>
      <c r="K64" s="184" t="s">
        <v>26</v>
      </c>
      <c r="L64" s="185"/>
      <c r="N64" s="188"/>
      <c r="O64" s="18">
        <f>AVERAGEA(F39:F50)</f>
        <v>162868.75</v>
      </c>
      <c r="P64" s="184" t="s">
        <v>26</v>
      </c>
      <c r="Q64" s="185"/>
    </row>
    <row r="65" spans="1:17" x14ac:dyDescent="0.3">
      <c r="D65" s="192"/>
      <c r="E65" s="18">
        <f>AVERAGEA(G51)</f>
        <v>990845</v>
      </c>
      <c r="F65" s="184" t="s">
        <v>34</v>
      </c>
      <c r="G65" s="185"/>
      <c r="I65" s="193"/>
      <c r="J65" s="18">
        <f>AVERAGEA(H51)</f>
        <v>462527</v>
      </c>
      <c r="K65" s="184" t="s">
        <v>34</v>
      </c>
      <c r="L65" s="185"/>
      <c r="N65" s="188"/>
      <c r="O65" s="18">
        <f>AVERAGEA(F51:F52)</f>
        <v>264159</v>
      </c>
      <c r="P65" s="184" t="s">
        <v>34</v>
      </c>
      <c r="Q65" s="185"/>
    </row>
    <row r="66" spans="1:17" x14ac:dyDescent="0.3">
      <c r="D66" s="192"/>
      <c r="E66" s="28">
        <f>AVERAGEA(E61:E64)</f>
        <v>782257.9375</v>
      </c>
      <c r="F66" s="186" t="s">
        <v>10</v>
      </c>
      <c r="G66" s="186"/>
      <c r="I66" s="193"/>
      <c r="J66" s="28">
        <f>AVERAGEA(J61:J64)</f>
        <v>521113.85416666663</v>
      </c>
      <c r="K66" s="186" t="s">
        <v>10</v>
      </c>
      <c r="L66" s="186"/>
      <c r="N66" s="189"/>
      <c r="O66" s="28">
        <f>AVERAGEA(O61:O64)</f>
        <v>152632.27083333334</v>
      </c>
      <c r="P66" s="186" t="s">
        <v>10</v>
      </c>
      <c r="Q66" s="186"/>
    </row>
    <row r="68" spans="1:17" x14ac:dyDescent="0.3">
      <c r="D68"/>
      <c r="E68"/>
      <c r="F68"/>
      <c r="G68"/>
      <c r="H68"/>
      <c r="I68"/>
    </row>
    <row r="69" spans="1:17" s="1" customFormat="1" x14ac:dyDescent="0.3">
      <c r="A69"/>
      <c r="D69"/>
      <c r="E69"/>
      <c r="F69"/>
      <c r="G69"/>
      <c r="H69"/>
      <c r="I69"/>
      <c r="J69"/>
      <c r="K69"/>
      <c r="L69"/>
      <c r="M69"/>
      <c r="N69"/>
    </row>
    <row r="70" spans="1:17" x14ac:dyDescent="0.3">
      <c r="D70"/>
      <c r="E70"/>
      <c r="F70"/>
      <c r="G70"/>
      <c r="H70"/>
      <c r="I70"/>
    </row>
    <row r="71" spans="1:17" ht="27" customHeight="1" x14ac:dyDescent="0.3">
      <c r="D71"/>
      <c r="E71"/>
      <c r="F71"/>
      <c r="G71"/>
      <c r="H71"/>
      <c r="I71"/>
    </row>
    <row r="72" spans="1:17" x14ac:dyDescent="0.3">
      <c r="D72"/>
      <c r="E72"/>
      <c r="F72"/>
      <c r="G72"/>
      <c r="H72"/>
      <c r="I72"/>
    </row>
    <row r="73" spans="1:17" x14ac:dyDescent="0.3">
      <c r="D73"/>
      <c r="E73"/>
      <c r="F73"/>
      <c r="G73"/>
      <c r="H73"/>
      <c r="I73"/>
    </row>
    <row r="74" spans="1:17" x14ac:dyDescent="0.3">
      <c r="D74"/>
      <c r="E74"/>
      <c r="F74"/>
      <c r="G74"/>
      <c r="H74"/>
      <c r="I74"/>
    </row>
    <row r="75" spans="1:17" x14ac:dyDescent="0.3">
      <c r="D75"/>
      <c r="E75"/>
      <c r="F75"/>
      <c r="G75"/>
      <c r="H75"/>
      <c r="I75"/>
    </row>
    <row r="76" spans="1:17" x14ac:dyDescent="0.3">
      <c r="D76"/>
      <c r="E76"/>
      <c r="F76"/>
      <c r="G76"/>
      <c r="H76"/>
      <c r="I76"/>
    </row>
    <row r="77" spans="1:17" x14ac:dyDescent="0.3">
      <c r="D77"/>
      <c r="E77"/>
      <c r="F77"/>
      <c r="G77"/>
      <c r="H77"/>
      <c r="I77"/>
    </row>
    <row r="78" spans="1:17" x14ac:dyDescent="0.3">
      <c r="D78"/>
      <c r="E78"/>
      <c r="F78"/>
      <c r="G78"/>
      <c r="H78"/>
      <c r="I78"/>
    </row>
  </sheetData>
  <autoFilter ref="B2:I40" xr:uid="{00000000-0009-0000-0000-000001000000}"/>
  <mergeCells count="160">
    <mergeCell ref="J35:J36"/>
    <mergeCell ref="J27:J28"/>
    <mergeCell ref="A3:A4"/>
    <mergeCell ref="B3:B4"/>
    <mergeCell ref="G3:G4"/>
    <mergeCell ref="H3:H4"/>
    <mergeCell ref="I3:I4"/>
    <mergeCell ref="A1:A2"/>
    <mergeCell ref="B1:B2"/>
    <mergeCell ref="C1:C2"/>
    <mergeCell ref="D1:F1"/>
    <mergeCell ref="G1:I1"/>
    <mergeCell ref="A5:A6"/>
    <mergeCell ref="B5:B6"/>
    <mergeCell ref="G5:G6"/>
    <mergeCell ref="H5:H6"/>
    <mergeCell ref="I5:I6"/>
    <mergeCell ref="A7:A8"/>
    <mergeCell ref="B7:B8"/>
    <mergeCell ref="G7:G8"/>
    <mergeCell ref="H7:H8"/>
    <mergeCell ref="I7:I8"/>
    <mergeCell ref="J11:J12"/>
    <mergeCell ref="A13:A14"/>
    <mergeCell ref="B13:B14"/>
    <mergeCell ref="G13:G14"/>
    <mergeCell ref="H13:H14"/>
    <mergeCell ref="I13:I14"/>
    <mergeCell ref="A9:A10"/>
    <mergeCell ref="B9:B10"/>
    <mergeCell ref="G9:G10"/>
    <mergeCell ref="H9:H10"/>
    <mergeCell ref="I9:I10"/>
    <mergeCell ref="A11:A12"/>
    <mergeCell ref="B11:B12"/>
    <mergeCell ref="G11:G12"/>
    <mergeCell ref="H11:H12"/>
    <mergeCell ref="I11:I12"/>
    <mergeCell ref="A19:A20"/>
    <mergeCell ref="B19:B20"/>
    <mergeCell ref="G19:G20"/>
    <mergeCell ref="H19:H20"/>
    <mergeCell ref="I19:I20"/>
    <mergeCell ref="J19:J20"/>
    <mergeCell ref="A15:A16"/>
    <mergeCell ref="B15:B16"/>
    <mergeCell ref="G15:G16"/>
    <mergeCell ref="H15:H16"/>
    <mergeCell ref="I15:I16"/>
    <mergeCell ref="A17:A18"/>
    <mergeCell ref="B17:B18"/>
    <mergeCell ref="G17:G18"/>
    <mergeCell ref="H17:H18"/>
    <mergeCell ref="I17:I18"/>
    <mergeCell ref="J23:J24"/>
    <mergeCell ref="A25:A26"/>
    <mergeCell ref="B25:B26"/>
    <mergeCell ref="G25:G26"/>
    <mergeCell ref="H25:H26"/>
    <mergeCell ref="I25:I26"/>
    <mergeCell ref="A21:A22"/>
    <mergeCell ref="B21:B22"/>
    <mergeCell ref="G21:G22"/>
    <mergeCell ref="H21:H22"/>
    <mergeCell ref="I21:I22"/>
    <mergeCell ref="A23:A24"/>
    <mergeCell ref="B23:B24"/>
    <mergeCell ref="G23:G24"/>
    <mergeCell ref="H23:H24"/>
    <mergeCell ref="I23:I24"/>
    <mergeCell ref="A31:A32"/>
    <mergeCell ref="B31:B32"/>
    <mergeCell ref="G31:G32"/>
    <mergeCell ref="H31:H32"/>
    <mergeCell ref="I31:I32"/>
    <mergeCell ref="J31:J32"/>
    <mergeCell ref="A27:A28"/>
    <mergeCell ref="B27:B28"/>
    <mergeCell ref="G27:G28"/>
    <mergeCell ref="H27:H28"/>
    <mergeCell ref="I27:I28"/>
    <mergeCell ref="A29:A30"/>
    <mergeCell ref="B29:B30"/>
    <mergeCell ref="G29:G30"/>
    <mergeCell ref="H29:H30"/>
    <mergeCell ref="I29:I30"/>
    <mergeCell ref="A33:A34"/>
    <mergeCell ref="B33:B34"/>
    <mergeCell ref="G33:G34"/>
    <mergeCell ref="H33:H34"/>
    <mergeCell ref="I33:I34"/>
    <mergeCell ref="A35:A36"/>
    <mergeCell ref="B35:B36"/>
    <mergeCell ref="G35:G36"/>
    <mergeCell ref="H35:H36"/>
    <mergeCell ref="I35:I36"/>
    <mergeCell ref="A37:A38"/>
    <mergeCell ref="B37:B38"/>
    <mergeCell ref="G37:G38"/>
    <mergeCell ref="H37:H38"/>
    <mergeCell ref="I37:I38"/>
    <mergeCell ref="A39:A40"/>
    <mergeCell ref="B39:B40"/>
    <mergeCell ref="G39:G40"/>
    <mergeCell ref="H39:H40"/>
    <mergeCell ref="I39:I40"/>
    <mergeCell ref="A41:A42"/>
    <mergeCell ref="B41:B42"/>
    <mergeCell ref="G41:G42"/>
    <mergeCell ref="H41:H42"/>
    <mergeCell ref="I41:I42"/>
    <mergeCell ref="A43:A44"/>
    <mergeCell ref="B43:B44"/>
    <mergeCell ref="G43:G44"/>
    <mergeCell ref="H43:H44"/>
    <mergeCell ref="I43:I44"/>
    <mergeCell ref="A45:A46"/>
    <mergeCell ref="B45:B46"/>
    <mergeCell ref="G45:G46"/>
    <mergeCell ref="H45:H46"/>
    <mergeCell ref="I45:I46"/>
    <mergeCell ref="A47:A48"/>
    <mergeCell ref="B47:B48"/>
    <mergeCell ref="G47:G48"/>
    <mergeCell ref="H47:H48"/>
    <mergeCell ref="I47:I48"/>
    <mergeCell ref="D61:D66"/>
    <mergeCell ref="F61:G61"/>
    <mergeCell ref="I61:I66"/>
    <mergeCell ref="K61:L61"/>
    <mergeCell ref="A49:A50"/>
    <mergeCell ref="B49:B50"/>
    <mergeCell ref="G49:G50"/>
    <mergeCell ref="H49:H50"/>
    <mergeCell ref="I49:I50"/>
    <mergeCell ref="B53:C53"/>
    <mergeCell ref="A51:A52"/>
    <mergeCell ref="B51:B52"/>
    <mergeCell ref="G51:G52"/>
    <mergeCell ref="H51:H52"/>
    <mergeCell ref="I51:I52"/>
    <mergeCell ref="F58:G58"/>
    <mergeCell ref="F59:G59"/>
    <mergeCell ref="P64:Q64"/>
    <mergeCell ref="F65:G65"/>
    <mergeCell ref="K65:L65"/>
    <mergeCell ref="P65:Q65"/>
    <mergeCell ref="F66:G66"/>
    <mergeCell ref="K66:L66"/>
    <mergeCell ref="P66:Q66"/>
    <mergeCell ref="N61:N66"/>
    <mergeCell ref="P61:Q61"/>
    <mergeCell ref="F62:G62"/>
    <mergeCell ref="K62:L62"/>
    <mergeCell ref="P62:Q62"/>
    <mergeCell ref="F63:G63"/>
    <mergeCell ref="K63:L63"/>
    <mergeCell ref="P63:Q63"/>
    <mergeCell ref="F64:G64"/>
    <mergeCell ref="K64:L64"/>
  </mergeCell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3717C-F3A4-4221-98BA-2F545CAA69AB}">
  <sheetPr>
    <tabColor theme="2" tint="-9.9978637043366805E-2"/>
  </sheetPr>
  <dimension ref="A1:T82"/>
  <sheetViews>
    <sheetView showGridLines="0" zoomScale="85" zoomScaleNormal="85" workbookViewId="0">
      <pane xSplit="3" ySplit="2" topLeftCell="D17" activePane="bottomRight" state="frozen"/>
      <selection activeCell="S39" sqref="S39"/>
      <selection pane="topRight" activeCell="S39" sqref="S39"/>
      <selection pane="bottomLeft" activeCell="S39" sqref="S39"/>
      <selection pane="bottomRight" activeCell="S39" sqref="S39"/>
    </sheetView>
  </sheetViews>
  <sheetFormatPr baseColWidth="10" defaultRowHeight="14.4" x14ac:dyDescent="0.3"/>
  <cols>
    <col min="1" max="1" width="8.88671875" customWidth="1"/>
    <col min="2" max="2" width="10.88671875" style="1" customWidth="1"/>
    <col min="3" max="3" width="8.88671875" style="1" customWidth="1"/>
    <col min="4" max="4" width="13.33203125" style="1" customWidth="1"/>
    <col min="5" max="5" width="11.88671875" style="1" customWidth="1"/>
    <col min="6" max="6" width="11.33203125" style="1" customWidth="1"/>
    <col min="7" max="7" width="11.44140625" style="1" customWidth="1"/>
    <col min="8" max="8" width="13.44140625" style="1" customWidth="1"/>
    <col min="9" max="9" width="11.88671875" style="1" customWidth="1"/>
    <col min="10" max="10" width="12" bestFit="1" customWidth="1"/>
    <col min="11" max="11" width="12.33203125" bestFit="1" customWidth="1"/>
  </cols>
  <sheetData>
    <row r="1" spans="1:14" x14ac:dyDescent="0.3">
      <c r="A1" s="241" t="s">
        <v>12</v>
      </c>
      <c r="B1" s="241" t="s">
        <v>0</v>
      </c>
      <c r="C1" s="241" t="s">
        <v>1</v>
      </c>
      <c r="D1" s="243" t="s">
        <v>7</v>
      </c>
      <c r="E1" s="244"/>
      <c r="F1" s="244"/>
      <c r="G1" s="245" t="s">
        <v>10</v>
      </c>
      <c r="H1" s="246"/>
      <c r="I1" s="247"/>
    </row>
    <row r="2" spans="1:14" ht="15" thickBot="1" x14ac:dyDescent="0.35">
      <c r="A2" s="242"/>
      <c r="B2" s="242"/>
      <c r="C2" s="242"/>
      <c r="D2" s="4" t="s">
        <v>4</v>
      </c>
      <c r="E2" s="5" t="s">
        <v>5</v>
      </c>
      <c r="F2" s="7" t="s">
        <v>6</v>
      </c>
      <c r="G2" s="8" t="s">
        <v>2</v>
      </c>
      <c r="H2" s="5" t="s">
        <v>11</v>
      </c>
      <c r="I2" s="9" t="s">
        <v>3</v>
      </c>
    </row>
    <row r="3" spans="1:14" x14ac:dyDescent="0.3">
      <c r="A3" s="194" t="s">
        <v>18</v>
      </c>
      <c r="B3" s="196">
        <v>45839</v>
      </c>
      <c r="C3" s="61" t="s">
        <v>8</v>
      </c>
      <c r="D3" s="22">
        <v>362860</v>
      </c>
      <c r="E3" s="2">
        <f>8000+18900+34400+31000+59263+131000</f>
        <v>282563</v>
      </c>
      <c r="F3" s="2">
        <f t="shared" ref="F3:F38" si="0">D3-E3</f>
        <v>80297</v>
      </c>
      <c r="G3" s="198">
        <f>D3+D4</f>
        <v>852798</v>
      </c>
      <c r="H3" s="198">
        <f>E3+E4</f>
        <v>566665</v>
      </c>
      <c r="I3" s="200">
        <f>G3-H3</f>
        <v>286133</v>
      </c>
    </row>
    <row r="4" spans="1:14" ht="15" thickBot="1" x14ac:dyDescent="0.35">
      <c r="A4" s="194"/>
      <c r="B4" s="197"/>
      <c r="C4" s="61" t="s">
        <v>9</v>
      </c>
      <c r="D4" s="22">
        <v>489938</v>
      </c>
      <c r="E4" s="2">
        <f>214102+50000+10000+10000</f>
        <v>284102</v>
      </c>
      <c r="F4" s="2">
        <f t="shared" si="0"/>
        <v>205836</v>
      </c>
      <c r="G4" s="198"/>
      <c r="H4" s="198"/>
      <c r="I4" s="200"/>
    </row>
    <row r="5" spans="1:14" x14ac:dyDescent="0.3">
      <c r="A5" s="194" t="s">
        <v>19</v>
      </c>
      <c r="B5" s="196">
        <v>45840</v>
      </c>
      <c r="C5" s="61" t="s">
        <v>8</v>
      </c>
      <c r="D5" s="2">
        <v>502242</v>
      </c>
      <c r="E5" s="2">
        <f>165000</f>
        <v>165000</v>
      </c>
      <c r="F5" s="2">
        <f t="shared" si="0"/>
        <v>337242</v>
      </c>
      <c r="G5" s="198">
        <f>D5+D6</f>
        <v>1088978</v>
      </c>
      <c r="H5" s="198">
        <f>E5+E6</f>
        <v>275098</v>
      </c>
      <c r="I5" s="200">
        <f>G5-H5</f>
        <v>813880</v>
      </c>
    </row>
    <row r="6" spans="1:14" ht="15" thickBot="1" x14ac:dyDescent="0.35">
      <c r="A6" s="194"/>
      <c r="B6" s="197"/>
      <c r="C6" s="61" t="s">
        <v>9</v>
      </c>
      <c r="D6" s="2">
        <v>586736</v>
      </c>
      <c r="E6" s="2">
        <f>8000+32598+50000+19500</f>
        <v>110098</v>
      </c>
      <c r="F6" s="2">
        <f t="shared" si="0"/>
        <v>476638</v>
      </c>
      <c r="G6" s="198"/>
      <c r="H6" s="198"/>
      <c r="I6" s="200"/>
    </row>
    <row r="7" spans="1:14" x14ac:dyDescent="0.3">
      <c r="A7" s="194" t="s">
        <v>15</v>
      </c>
      <c r="B7" s="196">
        <v>45841</v>
      </c>
      <c r="C7" s="61" t="s">
        <v>8</v>
      </c>
      <c r="D7" s="22">
        <v>349799</v>
      </c>
      <c r="E7" s="2">
        <f>560520</f>
        <v>560520</v>
      </c>
      <c r="F7" s="2">
        <f t="shared" si="0"/>
        <v>-210721</v>
      </c>
      <c r="G7" s="198">
        <f>D7+D8</f>
        <v>892098</v>
      </c>
      <c r="H7" s="198">
        <f>E7+E8</f>
        <v>733801</v>
      </c>
      <c r="I7" s="200">
        <f>G7-H7</f>
        <v>158297</v>
      </c>
    </row>
    <row r="8" spans="1:14" ht="15" thickBot="1" x14ac:dyDescent="0.35">
      <c r="A8" s="194"/>
      <c r="B8" s="197"/>
      <c r="C8" s="61" t="s">
        <v>9</v>
      </c>
      <c r="D8" s="22">
        <v>542299</v>
      </c>
      <c r="E8" s="2">
        <f>8000+83401+59880+22000</f>
        <v>173281</v>
      </c>
      <c r="F8" s="2">
        <f t="shared" si="0"/>
        <v>369018</v>
      </c>
      <c r="G8" s="198"/>
      <c r="H8" s="198"/>
      <c r="I8" s="200"/>
    </row>
    <row r="9" spans="1:14" x14ac:dyDescent="0.3">
      <c r="A9" s="194" t="s">
        <v>16</v>
      </c>
      <c r="B9" s="196">
        <v>45842</v>
      </c>
      <c r="C9" s="61" t="s">
        <v>8</v>
      </c>
      <c r="D9" s="22">
        <v>510921</v>
      </c>
      <c r="E9" s="2">
        <f>8000+22000+115000</f>
        <v>145000</v>
      </c>
      <c r="F9" s="2">
        <f t="shared" si="0"/>
        <v>365921</v>
      </c>
      <c r="G9" s="198">
        <f>D9+D10</f>
        <v>979791</v>
      </c>
      <c r="H9" s="198">
        <f>E9+E10</f>
        <v>275020</v>
      </c>
      <c r="I9" s="200">
        <f>G9-H9</f>
        <v>704771</v>
      </c>
    </row>
    <row r="10" spans="1:14" ht="15" thickBot="1" x14ac:dyDescent="0.35">
      <c r="A10" s="195"/>
      <c r="B10" s="197"/>
      <c r="C10" s="79" t="s">
        <v>9</v>
      </c>
      <c r="D10" s="29">
        <v>468870</v>
      </c>
      <c r="E10" s="6">
        <f>130020</f>
        <v>130020</v>
      </c>
      <c r="F10" s="6">
        <f t="shared" si="0"/>
        <v>338850</v>
      </c>
      <c r="G10" s="199"/>
      <c r="H10" s="199"/>
      <c r="I10" s="201"/>
    </row>
    <row r="11" spans="1:14" x14ac:dyDescent="0.3">
      <c r="A11" s="202" t="s">
        <v>13</v>
      </c>
      <c r="B11" s="204">
        <v>45843</v>
      </c>
      <c r="C11" s="77" t="s">
        <v>8</v>
      </c>
      <c r="D11" s="35">
        <v>235692</v>
      </c>
      <c r="E11" s="36">
        <f>8000+19000+35000</f>
        <v>62000</v>
      </c>
      <c r="F11" s="36">
        <f t="shared" si="0"/>
        <v>173692</v>
      </c>
      <c r="G11" s="206">
        <f>D11+D12</f>
        <v>479117</v>
      </c>
      <c r="H11" s="206">
        <f>E11+E12</f>
        <v>643172</v>
      </c>
      <c r="I11" s="208">
        <f>G11-H11</f>
        <v>-164055</v>
      </c>
    </row>
    <row r="12" spans="1:14" ht="15" thickBot="1" x14ac:dyDescent="0.35">
      <c r="A12" s="203"/>
      <c r="B12" s="280"/>
      <c r="C12" s="78" t="s">
        <v>35</v>
      </c>
      <c r="D12" s="37">
        <v>243425</v>
      </c>
      <c r="E12" s="38">
        <f>581172</f>
        <v>581172</v>
      </c>
      <c r="F12" s="38">
        <f t="shared" si="0"/>
        <v>-337747</v>
      </c>
      <c r="G12" s="207"/>
      <c r="H12" s="207"/>
      <c r="I12" s="209"/>
    </row>
    <row r="13" spans="1:14" s="1" customFormat="1" ht="14.25" customHeight="1" x14ac:dyDescent="0.3">
      <c r="A13" s="219" t="s">
        <v>17</v>
      </c>
      <c r="B13" s="196">
        <v>45845</v>
      </c>
      <c r="C13" s="60" t="s">
        <v>8</v>
      </c>
      <c r="D13" s="23">
        <v>310044</v>
      </c>
      <c r="E13" s="3">
        <f>200870+71500+45500</f>
        <v>317870</v>
      </c>
      <c r="F13" s="3">
        <f t="shared" si="0"/>
        <v>-7826</v>
      </c>
      <c r="G13" s="220">
        <f>D13+D14</f>
        <v>733030</v>
      </c>
      <c r="H13" s="220">
        <f>E13+E14</f>
        <v>491920</v>
      </c>
      <c r="I13" s="221">
        <f>G13-H13</f>
        <v>241110</v>
      </c>
      <c r="J13"/>
      <c r="K13"/>
      <c r="L13"/>
      <c r="M13"/>
      <c r="N13"/>
    </row>
    <row r="14" spans="1:14" s="1" customFormat="1" ht="15" thickBot="1" x14ac:dyDescent="0.35">
      <c r="A14" s="194"/>
      <c r="B14" s="197"/>
      <c r="C14" s="61" t="s">
        <v>9</v>
      </c>
      <c r="D14" s="22">
        <v>422986</v>
      </c>
      <c r="E14" s="2">
        <f>74050+100000</f>
        <v>174050</v>
      </c>
      <c r="F14" s="2">
        <f t="shared" si="0"/>
        <v>248936</v>
      </c>
      <c r="G14" s="198"/>
      <c r="H14" s="198"/>
      <c r="I14" s="200"/>
      <c r="J14"/>
      <c r="K14"/>
      <c r="L14"/>
      <c r="M14"/>
      <c r="N14"/>
    </row>
    <row r="15" spans="1:14" s="1" customFormat="1" x14ac:dyDescent="0.3">
      <c r="A15" s="194" t="s">
        <v>18</v>
      </c>
      <c r="B15" s="196">
        <v>45846</v>
      </c>
      <c r="C15" s="61" t="s">
        <v>8</v>
      </c>
      <c r="D15" s="22">
        <v>397752</v>
      </c>
      <c r="E15" s="2">
        <f>165000+214960+65855+57500</f>
        <v>503315</v>
      </c>
      <c r="F15" s="2">
        <f t="shared" si="0"/>
        <v>-105563</v>
      </c>
      <c r="G15" s="198">
        <f>D15+D16</f>
        <v>905211</v>
      </c>
      <c r="H15" s="198">
        <f>E15+E16</f>
        <v>1033315</v>
      </c>
      <c r="I15" s="200">
        <f>G15-H15</f>
        <v>-128104</v>
      </c>
      <c r="J15" s="248" t="s">
        <v>42</v>
      </c>
      <c r="K15"/>
      <c r="L15"/>
      <c r="M15"/>
      <c r="N15"/>
    </row>
    <row r="16" spans="1:14" s="1" customFormat="1" ht="15" thickBot="1" x14ac:dyDescent="0.35">
      <c r="A16" s="194"/>
      <c r="B16" s="197"/>
      <c r="C16" s="61" t="s">
        <v>9</v>
      </c>
      <c r="D16" s="22">
        <v>507459</v>
      </c>
      <c r="E16" s="2">
        <f>530000</f>
        <v>530000</v>
      </c>
      <c r="F16" s="2">
        <f t="shared" si="0"/>
        <v>-22541</v>
      </c>
      <c r="G16" s="198"/>
      <c r="H16" s="198"/>
      <c r="I16" s="200"/>
      <c r="J16" s="249"/>
      <c r="K16"/>
      <c r="L16"/>
    </row>
    <row r="17" spans="1:20" s="1" customFormat="1" ht="14.25" customHeight="1" x14ac:dyDescent="0.3">
      <c r="A17" s="342" t="s">
        <v>19</v>
      </c>
      <c r="B17" s="343">
        <v>45847</v>
      </c>
      <c r="C17" s="125" t="s">
        <v>8</v>
      </c>
      <c r="D17" s="126">
        <v>281207</v>
      </c>
      <c r="E17" s="127">
        <f>37000+9000+110000</f>
        <v>156000</v>
      </c>
      <c r="F17" s="127">
        <f t="shared" si="0"/>
        <v>125207</v>
      </c>
      <c r="G17" s="340">
        <f>D17+D18</f>
        <v>694410</v>
      </c>
      <c r="H17" s="340">
        <f>E17+E18</f>
        <v>306000</v>
      </c>
      <c r="I17" s="341">
        <f>G17-H17</f>
        <v>388410</v>
      </c>
      <c r="J17" s="210" t="s">
        <v>53</v>
      </c>
      <c r="K17"/>
      <c r="L17"/>
    </row>
    <row r="18" spans="1:20" s="1" customFormat="1" ht="15" thickBot="1" x14ac:dyDescent="0.35">
      <c r="A18" s="342"/>
      <c r="B18" s="344"/>
      <c r="C18" s="125" t="s">
        <v>9</v>
      </c>
      <c r="D18" s="126">
        <v>413203</v>
      </c>
      <c r="E18" s="127">
        <f>70000+80000</f>
        <v>150000</v>
      </c>
      <c r="F18" s="127">
        <f t="shared" si="0"/>
        <v>263203</v>
      </c>
      <c r="G18" s="340"/>
      <c r="H18" s="340"/>
      <c r="I18" s="341"/>
      <c r="J18" s="210"/>
      <c r="K18"/>
      <c r="L18"/>
    </row>
    <row r="19" spans="1:20" s="1" customFormat="1" x14ac:dyDescent="0.3">
      <c r="A19" s="194" t="s">
        <v>15</v>
      </c>
      <c r="B19" s="196">
        <v>45848</v>
      </c>
      <c r="C19" s="104" t="s">
        <v>8</v>
      </c>
      <c r="D19" s="2">
        <v>255973</v>
      </c>
      <c r="E19" s="2">
        <f>9000+229425</f>
        <v>238425</v>
      </c>
      <c r="F19" s="2">
        <f t="shared" si="0"/>
        <v>17548</v>
      </c>
      <c r="G19" s="198">
        <f>D19+D20</f>
        <v>615657</v>
      </c>
      <c r="H19" s="198">
        <f>E19+E20</f>
        <v>292225</v>
      </c>
      <c r="I19" s="200">
        <f>G19-H19</f>
        <v>323432</v>
      </c>
      <c r="K19"/>
      <c r="L19"/>
      <c r="M19"/>
      <c r="N19"/>
    </row>
    <row r="20" spans="1:20" s="1" customFormat="1" ht="15" thickBot="1" x14ac:dyDescent="0.35">
      <c r="A20" s="194"/>
      <c r="B20" s="197"/>
      <c r="C20" s="104" t="s">
        <v>9</v>
      </c>
      <c r="D20" s="2">
        <v>359684</v>
      </c>
      <c r="E20" s="2">
        <f>22200+23400+8200</f>
        <v>53800</v>
      </c>
      <c r="F20" s="2">
        <f t="shared" si="0"/>
        <v>305884</v>
      </c>
      <c r="G20" s="198"/>
      <c r="H20" s="198"/>
      <c r="I20" s="200"/>
      <c r="K20"/>
      <c r="L20"/>
      <c r="M20"/>
      <c r="N20"/>
    </row>
    <row r="21" spans="1:20" x14ac:dyDescent="0.3">
      <c r="A21" s="194" t="s">
        <v>16</v>
      </c>
      <c r="B21" s="196">
        <v>45849</v>
      </c>
      <c r="C21" s="104" t="s">
        <v>8</v>
      </c>
      <c r="D21" s="2">
        <v>243851</v>
      </c>
      <c r="E21" s="2">
        <f>9000+115000+67430+40000</f>
        <v>231430</v>
      </c>
      <c r="F21" s="2">
        <f t="shared" si="0"/>
        <v>12421</v>
      </c>
      <c r="G21" s="198">
        <f>D21+D22</f>
        <v>749520</v>
      </c>
      <c r="H21" s="198">
        <f>E21+E22</f>
        <v>525736</v>
      </c>
      <c r="I21" s="200">
        <f>G21-H21</f>
        <v>223784</v>
      </c>
    </row>
    <row r="22" spans="1:20" ht="15" thickBot="1" x14ac:dyDescent="0.35">
      <c r="A22" s="195"/>
      <c r="B22" s="197"/>
      <c r="C22" s="105" t="s">
        <v>9</v>
      </c>
      <c r="D22" s="2">
        <v>505669</v>
      </c>
      <c r="E22" s="2">
        <f>294306</f>
        <v>294306</v>
      </c>
      <c r="F22" s="2">
        <f t="shared" si="0"/>
        <v>211363</v>
      </c>
      <c r="G22" s="198"/>
      <c r="H22" s="198"/>
      <c r="I22" s="201"/>
    </row>
    <row r="23" spans="1:20" x14ac:dyDescent="0.3">
      <c r="A23" s="333" t="s">
        <v>13</v>
      </c>
      <c r="B23" s="335">
        <v>45850</v>
      </c>
      <c r="C23" s="115" t="s">
        <v>8</v>
      </c>
      <c r="D23" s="116">
        <v>373814</v>
      </c>
      <c r="E23" s="116">
        <f>4500+20000</f>
        <v>24500</v>
      </c>
      <c r="F23" s="116">
        <f t="shared" si="0"/>
        <v>349314</v>
      </c>
      <c r="G23" s="336">
        <f>D23+D24</f>
        <v>713877</v>
      </c>
      <c r="H23" s="336">
        <f>E23+E24</f>
        <v>49500</v>
      </c>
      <c r="I23" s="337">
        <f>G23-H23</f>
        <v>664377</v>
      </c>
    </row>
    <row r="24" spans="1:20" ht="15" thickBot="1" x14ac:dyDescent="0.35">
      <c r="A24" s="334"/>
      <c r="B24" s="320"/>
      <c r="C24" s="117" t="s">
        <v>35</v>
      </c>
      <c r="D24" s="116">
        <v>340063</v>
      </c>
      <c r="E24" s="116">
        <v>25000</v>
      </c>
      <c r="F24" s="116">
        <f t="shared" si="0"/>
        <v>315063</v>
      </c>
      <c r="G24" s="336"/>
      <c r="H24" s="336"/>
      <c r="I24" s="338"/>
    </row>
    <row r="25" spans="1:20" s="1" customFormat="1" x14ac:dyDescent="0.3">
      <c r="A25" s="219" t="s">
        <v>17</v>
      </c>
      <c r="B25" s="196">
        <v>45852</v>
      </c>
      <c r="C25" s="60" t="s">
        <v>8</v>
      </c>
      <c r="D25" s="23">
        <v>296097</v>
      </c>
      <c r="E25" s="3">
        <f>9000+90969+15800+10000+20000+35000</f>
        <v>180769</v>
      </c>
      <c r="F25" s="3">
        <f>D25-E25</f>
        <v>115328</v>
      </c>
      <c r="G25" s="220">
        <f>D25+D26</f>
        <v>694427</v>
      </c>
      <c r="H25" s="220">
        <f>E25+E26</f>
        <v>702347</v>
      </c>
      <c r="I25" s="221">
        <f>G25-H25</f>
        <v>-7920</v>
      </c>
      <c r="J25"/>
      <c r="K25"/>
      <c r="L25"/>
      <c r="M25"/>
      <c r="N25"/>
      <c r="O25"/>
      <c r="P25"/>
      <c r="S25" s="85"/>
      <c r="T25" t="s">
        <v>52</v>
      </c>
    </row>
    <row r="26" spans="1:20" s="1" customFormat="1" ht="15" thickBot="1" x14ac:dyDescent="0.35">
      <c r="A26" s="194"/>
      <c r="B26" s="197"/>
      <c r="C26" s="61" t="s">
        <v>9</v>
      </c>
      <c r="D26" s="22">
        <v>398330</v>
      </c>
      <c r="E26" s="2">
        <f>521578</f>
        <v>521578</v>
      </c>
      <c r="F26" s="2">
        <f>D26-E26</f>
        <v>-123248</v>
      </c>
      <c r="G26" s="198"/>
      <c r="H26" s="198"/>
      <c r="I26" s="200"/>
      <c r="J26"/>
      <c r="K26"/>
      <c r="L26"/>
      <c r="M26"/>
      <c r="N26"/>
      <c r="O26"/>
      <c r="P26"/>
      <c r="S26" s="43"/>
      <c r="T26" t="s">
        <v>41</v>
      </c>
    </row>
    <row r="27" spans="1:20" s="1" customFormat="1" x14ac:dyDescent="0.3">
      <c r="A27" s="219" t="s">
        <v>18</v>
      </c>
      <c r="B27" s="196">
        <v>45853</v>
      </c>
      <c r="C27" s="60" t="s">
        <v>8</v>
      </c>
      <c r="D27" s="23">
        <v>226652</v>
      </c>
      <c r="E27" s="3">
        <f>9000+94000+60000</f>
        <v>163000</v>
      </c>
      <c r="F27" s="3">
        <f t="shared" si="0"/>
        <v>63652</v>
      </c>
      <c r="G27" s="220">
        <f>D27+D28</f>
        <v>600795</v>
      </c>
      <c r="H27" s="220">
        <f>E27+E28</f>
        <v>348000</v>
      </c>
      <c r="I27" s="221">
        <f>G27-H27</f>
        <v>252795</v>
      </c>
      <c r="J27"/>
      <c r="K27"/>
      <c r="L27"/>
      <c r="M27"/>
      <c r="N27"/>
      <c r="O27"/>
      <c r="P27"/>
    </row>
    <row r="28" spans="1:20" s="1" customFormat="1" ht="15" thickBot="1" x14ac:dyDescent="0.35">
      <c r="A28" s="194"/>
      <c r="B28" s="197"/>
      <c r="C28" s="61" t="s">
        <v>9</v>
      </c>
      <c r="D28" s="22">
        <v>374143</v>
      </c>
      <c r="E28" s="2">
        <f>165000+20000</f>
        <v>185000</v>
      </c>
      <c r="F28" s="2">
        <f t="shared" si="0"/>
        <v>189143</v>
      </c>
      <c r="G28" s="198"/>
      <c r="H28" s="198"/>
      <c r="I28" s="200"/>
      <c r="J28"/>
      <c r="K28"/>
      <c r="L28"/>
      <c r="M28"/>
      <c r="N28"/>
      <c r="O28"/>
      <c r="P28"/>
    </row>
    <row r="29" spans="1:20" s="1" customFormat="1" ht="14.25" customHeight="1" x14ac:dyDescent="0.3">
      <c r="A29" s="219" t="s">
        <v>19</v>
      </c>
      <c r="B29" s="196">
        <v>45854</v>
      </c>
      <c r="C29" s="60" t="s">
        <v>8</v>
      </c>
      <c r="D29" s="23">
        <v>326046</v>
      </c>
      <c r="E29" s="3">
        <f>9000+133000+63183</f>
        <v>205183</v>
      </c>
      <c r="F29" s="3">
        <f t="shared" si="0"/>
        <v>120863</v>
      </c>
      <c r="G29" s="220">
        <f>D29+D30</f>
        <v>705752</v>
      </c>
      <c r="H29" s="220">
        <f>E29+E30</f>
        <v>474445</v>
      </c>
      <c r="I29" s="221">
        <f>G29-H29</f>
        <v>231307</v>
      </c>
      <c r="J29"/>
      <c r="K29"/>
      <c r="L29"/>
      <c r="O29"/>
      <c r="P29"/>
    </row>
    <row r="30" spans="1:20" s="1" customFormat="1" ht="15" thickBot="1" x14ac:dyDescent="0.35">
      <c r="A30" s="194"/>
      <c r="B30" s="197"/>
      <c r="C30" s="61" t="s">
        <v>9</v>
      </c>
      <c r="D30" s="22">
        <v>379706</v>
      </c>
      <c r="E30" s="2">
        <f>269262</f>
        <v>269262</v>
      </c>
      <c r="F30" s="2">
        <f t="shared" si="0"/>
        <v>110444</v>
      </c>
      <c r="G30" s="198"/>
      <c r="H30" s="198"/>
      <c r="I30" s="200"/>
      <c r="J30"/>
      <c r="K30"/>
      <c r="L30"/>
      <c r="O30"/>
      <c r="P30"/>
    </row>
    <row r="31" spans="1:20" s="1" customFormat="1" x14ac:dyDescent="0.3">
      <c r="A31" s="219" t="s">
        <v>15</v>
      </c>
      <c r="B31" s="196">
        <v>45855</v>
      </c>
      <c r="C31" s="60" t="s">
        <v>8</v>
      </c>
      <c r="D31" s="23">
        <v>296118</v>
      </c>
      <c r="E31" s="3">
        <f>9000+59786+26500+140000+59860</f>
        <v>295146</v>
      </c>
      <c r="F31" s="3">
        <f t="shared" si="0"/>
        <v>972</v>
      </c>
      <c r="G31" s="220">
        <f>D31+D32</f>
        <v>721269</v>
      </c>
      <c r="H31" s="220">
        <f>E31+E32</f>
        <v>753572</v>
      </c>
      <c r="I31" s="221">
        <f>G31-H31</f>
        <v>-32303</v>
      </c>
      <c r="J31"/>
      <c r="K31"/>
      <c r="L31"/>
      <c r="O31"/>
      <c r="P31"/>
    </row>
    <row r="32" spans="1:20" s="1" customFormat="1" ht="15" thickBot="1" x14ac:dyDescent="0.35">
      <c r="A32" s="194"/>
      <c r="B32" s="197"/>
      <c r="C32" s="61" t="s">
        <v>9</v>
      </c>
      <c r="D32" s="22">
        <v>425151</v>
      </c>
      <c r="E32" s="2">
        <f>458426</f>
        <v>458426</v>
      </c>
      <c r="F32" s="2">
        <f t="shared" si="0"/>
        <v>-33275</v>
      </c>
      <c r="G32" s="198"/>
      <c r="H32" s="198"/>
      <c r="I32" s="200"/>
      <c r="J32"/>
      <c r="K32"/>
      <c r="L32"/>
      <c r="M32"/>
      <c r="N32"/>
      <c r="O32"/>
      <c r="P32"/>
    </row>
    <row r="33" spans="1:16" x14ac:dyDescent="0.3">
      <c r="A33" s="219" t="s">
        <v>16</v>
      </c>
      <c r="B33" s="196">
        <v>45856</v>
      </c>
      <c r="C33" s="60" t="s">
        <v>8</v>
      </c>
      <c r="D33" s="23">
        <v>251885</v>
      </c>
      <c r="E33" s="3">
        <f>9000+34400+10000</f>
        <v>53400</v>
      </c>
      <c r="F33" s="3">
        <f t="shared" si="0"/>
        <v>198485</v>
      </c>
      <c r="G33" s="220">
        <f>D33+D34</f>
        <v>688797</v>
      </c>
      <c r="H33" s="220">
        <f>E33+E34</f>
        <v>111200</v>
      </c>
      <c r="I33" s="221">
        <f>G33-H33</f>
        <v>577597</v>
      </c>
    </row>
    <row r="34" spans="1:16" ht="15" thickBot="1" x14ac:dyDescent="0.35">
      <c r="A34" s="194"/>
      <c r="B34" s="197"/>
      <c r="C34" s="61" t="s">
        <v>9</v>
      </c>
      <c r="D34" s="22">
        <v>436912</v>
      </c>
      <c r="E34" s="2">
        <f>25000+32800</f>
        <v>57800</v>
      </c>
      <c r="F34" s="2">
        <f t="shared" si="0"/>
        <v>379112</v>
      </c>
      <c r="G34" s="198"/>
      <c r="H34" s="198"/>
      <c r="I34" s="200"/>
    </row>
    <row r="35" spans="1:16" x14ac:dyDescent="0.3">
      <c r="A35" s="202" t="s">
        <v>13</v>
      </c>
      <c r="B35" s="204">
        <v>45857</v>
      </c>
      <c r="C35" s="77" t="s">
        <v>8</v>
      </c>
      <c r="D35" s="35">
        <v>237454</v>
      </c>
      <c r="E35" s="36">
        <f>4500</f>
        <v>4500</v>
      </c>
      <c r="F35" s="36">
        <f t="shared" si="0"/>
        <v>232954</v>
      </c>
      <c r="G35" s="206">
        <f>D35+D36</f>
        <v>548681</v>
      </c>
      <c r="H35" s="206">
        <f>E35+E36</f>
        <v>404514</v>
      </c>
      <c r="I35" s="208">
        <f>G35-H35</f>
        <v>144167</v>
      </c>
    </row>
    <row r="36" spans="1:16" ht="15" thickBot="1" x14ac:dyDescent="0.35">
      <c r="A36" s="203"/>
      <c r="B36" s="280"/>
      <c r="C36" s="78" t="s">
        <v>9</v>
      </c>
      <c r="D36" s="37">
        <v>311227</v>
      </c>
      <c r="E36" s="38">
        <f>400014</f>
        <v>400014</v>
      </c>
      <c r="F36" s="38">
        <f t="shared" si="0"/>
        <v>-88787</v>
      </c>
      <c r="G36" s="207"/>
      <c r="H36" s="207"/>
      <c r="I36" s="209"/>
    </row>
    <row r="37" spans="1:16" x14ac:dyDescent="0.3">
      <c r="A37" s="226" t="s">
        <v>17</v>
      </c>
      <c r="B37" s="227">
        <v>45859</v>
      </c>
      <c r="C37" s="76" t="s">
        <v>8</v>
      </c>
      <c r="D37" s="30">
        <v>278864</v>
      </c>
      <c r="E37" s="11">
        <f>9000+16650+30000</f>
        <v>55650</v>
      </c>
      <c r="F37" s="11">
        <f t="shared" si="0"/>
        <v>223214</v>
      </c>
      <c r="G37" s="224">
        <f>D37+D38</f>
        <v>635661</v>
      </c>
      <c r="H37" s="224">
        <f>E37+E38</f>
        <v>195650</v>
      </c>
      <c r="I37" s="228">
        <f>G37-H37</f>
        <v>440011</v>
      </c>
    </row>
    <row r="38" spans="1:16" ht="15" thickBot="1" x14ac:dyDescent="0.35">
      <c r="A38" s="222"/>
      <c r="B38" s="197"/>
      <c r="C38" s="62" t="s">
        <v>9</v>
      </c>
      <c r="D38" s="27">
        <v>356797</v>
      </c>
      <c r="E38" s="10">
        <f>80000+60000</f>
        <v>140000</v>
      </c>
      <c r="F38" s="10">
        <f t="shared" si="0"/>
        <v>216797</v>
      </c>
      <c r="G38" s="223"/>
      <c r="H38" s="223"/>
      <c r="I38" s="225"/>
    </row>
    <row r="39" spans="1:16" x14ac:dyDescent="0.3">
      <c r="A39" s="226" t="s">
        <v>18</v>
      </c>
      <c r="B39" s="227">
        <v>45860</v>
      </c>
      <c r="C39" s="76" t="s">
        <v>8</v>
      </c>
      <c r="D39" s="30">
        <v>376642</v>
      </c>
      <c r="E39" s="11">
        <f>9000+45400+150000+83401</f>
        <v>287801</v>
      </c>
      <c r="F39" s="11">
        <f>D39-E39</f>
        <v>88841</v>
      </c>
      <c r="G39" s="224">
        <f>D39+D40</f>
        <v>866042</v>
      </c>
      <c r="H39" s="224">
        <f>E39+E40</f>
        <v>534126</v>
      </c>
      <c r="I39" s="228">
        <f>G39-H39</f>
        <v>331916</v>
      </c>
    </row>
    <row r="40" spans="1:16" ht="15" thickBot="1" x14ac:dyDescent="0.35">
      <c r="A40" s="222"/>
      <c r="B40" s="197"/>
      <c r="C40" s="62" t="s">
        <v>9</v>
      </c>
      <c r="D40" s="27">
        <v>489400</v>
      </c>
      <c r="E40" s="10">
        <f>215925+30400</f>
        <v>246325</v>
      </c>
      <c r="F40" s="10">
        <f>D40-E40</f>
        <v>243075</v>
      </c>
      <c r="G40" s="223"/>
      <c r="H40" s="223"/>
      <c r="I40" s="225"/>
    </row>
    <row r="41" spans="1:16" x14ac:dyDescent="0.3">
      <c r="A41" s="226" t="s">
        <v>14</v>
      </c>
      <c r="B41" s="227">
        <v>45861</v>
      </c>
      <c r="C41" s="76" t="s">
        <v>8</v>
      </c>
      <c r="D41" s="30">
        <v>416473</v>
      </c>
      <c r="E41" s="11">
        <f>80000+4500+74500+139000</f>
        <v>298000</v>
      </c>
      <c r="F41" s="11">
        <f>D41-E41</f>
        <v>118473</v>
      </c>
      <c r="G41" s="224">
        <f>D41+D42</f>
        <v>810508</v>
      </c>
      <c r="H41" s="224">
        <f>E41+E42</f>
        <v>518338</v>
      </c>
      <c r="I41" s="228">
        <f>G41-H41</f>
        <v>292170</v>
      </c>
    </row>
    <row r="42" spans="1:16" ht="15" thickBot="1" x14ac:dyDescent="0.35">
      <c r="A42" s="222"/>
      <c r="B42" s="197"/>
      <c r="C42" s="62" t="s">
        <v>9</v>
      </c>
      <c r="D42" s="27">
        <v>394035</v>
      </c>
      <c r="E42" s="10">
        <f>220338</f>
        <v>220338</v>
      </c>
      <c r="F42" s="10">
        <f>D42-E42</f>
        <v>173697</v>
      </c>
      <c r="G42" s="223"/>
      <c r="H42" s="223"/>
      <c r="I42" s="225"/>
      <c r="M42" s="13" t="s">
        <v>2</v>
      </c>
      <c r="N42" s="12">
        <v>1</v>
      </c>
    </row>
    <row r="43" spans="1:16" s="1" customFormat="1" x14ac:dyDescent="0.3">
      <c r="A43" s="194" t="s">
        <v>15</v>
      </c>
      <c r="B43" s="227">
        <v>45862</v>
      </c>
      <c r="C43" s="61" t="s">
        <v>8</v>
      </c>
      <c r="D43" s="22">
        <v>270130</v>
      </c>
      <c r="E43" s="11">
        <f>4500+38500</f>
        <v>43000</v>
      </c>
      <c r="F43" s="2">
        <f t="shared" ref="F43:F50" si="1">D43-E43</f>
        <v>227130</v>
      </c>
      <c r="G43" s="198">
        <f>D43+D44</f>
        <v>836544</v>
      </c>
      <c r="H43" s="198">
        <f>E43+E44</f>
        <v>93000</v>
      </c>
      <c r="I43" s="200">
        <f>G43-H43</f>
        <v>743544</v>
      </c>
      <c r="J43"/>
      <c r="K43"/>
      <c r="L43"/>
      <c r="M43" s="14" t="s">
        <v>11</v>
      </c>
      <c r="N43" s="17">
        <f>H57*100/G57/100</f>
        <v>0.56687735238461068</v>
      </c>
      <c r="O43"/>
      <c r="P43"/>
    </row>
    <row r="44" spans="1:16" s="1" customFormat="1" ht="15" thickBot="1" x14ac:dyDescent="0.35">
      <c r="A44" s="194"/>
      <c r="B44" s="197"/>
      <c r="C44" s="61" t="s">
        <v>9</v>
      </c>
      <c r="D44" s="22">
        <v>566414</v>
      </c>
      <c r="E44" s="10">
        <f>40000+10000</f>
        <v>50000</v>
      </c>
      <c r="F44" s="2">
        <f t="shared" si="1"/>
        <v>516414</v>
      </c>
      <c r="G44" s="198"/>
      <c r="H44" s="198"/>
      <c r="I44" s="200"/>
      <c r="J44"/>
      <c r="K44"/>
      <c r="L44"/>
      <c r="M44" s="15" t="s">
        <v>3</v>
      </c>
      <c r="N44" s="16">
        <f>(100%-N43)</f>
        <v>0.43312264761538932</v>
      </c>
      <c r="O44"/>
      <c r="P44"/>
    </row>
    <row r="45" spans="1:16" x14ac:dyDescent="0.3">
      <c r="A45" s="194" t="s">
        <v>16</v>
      </c>
      <c r="B45" s="227">
        <v>45863</v>
      </c>
      <c r="C45" s="61" t="s">
        <v>8</v>
      </c>
      <c r="D45" s="22">
        <v>305350</v>
      </c>
      <c r="E45" s="2">
        <f>10000+66831</f>
        <v>76831</v>
      </c>
      <c r="F45" s="2">
        <f t="shared" si="1"/>
        <v>228519</v>
      </c>
      <c r="G45" s="198">
        <f>D45+D46</f>
        <v>738655</v>
      </c>
      <c r="H45" s="198">
        <f>E45+E46</f>
        <v>312449</v>
      </c>
      <c r="I45" s="200">
        <f>G45-H45</f>
        <v>426206</v>
      </c>
    </row>
    <row r="46" spans="1:16" ht="15" thickBot="1" x14ac:dyDescent="0.35">
      <c r="A46" s="222"/>
      <c r="B46" s="197"/>
      <c r="C46" s="62" t="s">
        <v>9</v>
      </c>
      <c r="D46" s="27">
        <v>433305</v>
      </c>
      <c r="E46" s="10">
        <f>235618</f>
        <v>235618</v>
      </c>
      <c r="F46" s="10">
        <f t="shared" si="1"/>
        <v>197687</v>
      </c>
      <c r="G46" s="223"/>
      <c r="H46" s="223"/>
      <c r="I46" s="225"/>
    </row>
    <row r="47" spans="1:16" x14ac:dyDescent="0.3">
      <c r="A47" s="317" t="s">
        <v>13</v>
      </c>
      <c r="B47" s="319">
        <v>45864</v>
      </c>
      <c r="C47" s="109" t="s">
        <v>8</v>
      </c>
      <c r="D47" s="110">
        <v>288396</v>
      </c>
      <c r="E47" s="111">
        <f>20000+15000</f>
        <v>35000</v>
      </c>
      <c r="F47" s="111">
        <f t="shared" si="1"/>
        <v>253396</v>
      </c>
      <c r="G47" s="321">
        <f>D47+D48</f>
        <v>593593</v>
      </c>
      <c r="H47" s="321">
        <f>E47+E48</f>
        <v>61500</v>
      </c>
      <c r="I47" s="323">
        <f>G47-H47</f>
        <v>532093</v>
      </c>
    </row>
    <row r="48" spans="1:16" ht="15" thickBot="1" x14ac:dyDescent="0.35">
      <c r="A48" s="318"/>
      <c r="B48" s="320"/>
      <c r="C48" s="112" t="s">
        <v>9</v>
      </c>
      <c r="D48" s="113">
        <v>305197</v>
      </c>
      <c r="E48" s="114">
        <f>26500</f>
        <v>26500</v>
      </c>
      <c r="F48" s="114">
        <f t="shared" si="1"/>
        <v>278697</v>
      </c>
      <c r="G48" s="322"/>
      <c r="H48" s="322"/>
      <c r="I48" s="324"/>
    </row>
    <row r="49" spans="1:16" x14ac:dyDescent="0.3">
      <c r="A49" s="226" t="s">
        <v>17</v>
      </c>
      <c r="B49" s="227">
        <v>45866</v>
      </c>
      <c r="C49" s="76" t="s">
        <v>8</v>
      </c>
      <c r="D49" s="30">
        <v>338501</v>
      </c>
      <c r="E49" s="11">
        <f>24100+71500+82130+30000</f>
        <v>207730</v>
      </c>
      <c r="F49" s="11">
        <f t="shared" si="1"/>
        <v>130771</v>
      </c>
      <c r="G49" s="224">
        <f>D49+D50</f>
        <v>760290</v>
      </c>
      <c r="H49" s="224">
        <f>E49+E50</f>
        <v>448630</v>
      </c>
      <c r="I49" s="228">
        <f>G49-H49</f>
        <v>311660</v>
      </c>
    </row>
    <row r="50" spans="1:16" ht="15" thickBot="1" x14ac:dyDescent="0.35">
      <c r="A50" s="222"/>
      <c r="B50" s="197"/>
      <c r="C50" s="62" t="s">
        <v>9</v>
      </c>
      <c r="D50" s="27">
        <v>421789</v>
      </c>
      <c r="E50" s="10">
        <f>240900</f>
        <v>240900</v>
      </c>
      <c r="F50" s="10">
        <f t="shared" si="1"/>
        <v>180889</v>
      </c>
      <c r="G50" s="223"/>
      <c r="H50" s="223"/>
      <c r="I50" s="225"/>
    </row>
    <row r="51" spans="1:16" x14ac:dyDescent="0.3">
      <c r="A51" s="226" t="s">
        <v>18</v>
      </c>
      <c r="B51" s="227">
        <v>45867</v>
      </c>
      <c r="C51" s="76" t="s">
        <v>8</v>
      </c>
      <c r="D51" s="30">
        <v>288364</v>
      </c>
      <c r="E51" s="11">
        <f>233308</f>
        <v>233308</v>
      </c>
      <c r="F51" s="11">
        <f t="shared" ref="F51:F56" si="2">D51-E51</f>
        <v>55056</v>
      </c>
      <c r="G51" s="224">
        <f>D51+D52</f>
        <v>661650</v>
      </c>
      <c r="H51" s="224">
        <f>E51+E52</f>
        <v>491871</v>
      </c>
      <c r="I51" s="228">
        <f>G51-H51</f>
        <v>169779</v>
      </c>
    </row>
    <row r="52" spans="1:16" ht="15" thickBot="1" x14ac:dyDescent="0.35">
      <c r="A52" s="222"/>
      <c r="B52" s="197"/>
      <c r="C52" s="62" t="s">
        <v>9</v>
      </c>
      <c r="D52" s="27">
        <v>373286</v>
      </c>
      <c r="E52" s="10">
        <f>59263+38500+160800</f>
        <v>258563</v>
      </c>
      <c r="F52" s="10">
        <f t="shared" si="2"/>
        <v>114723</v>
      </c>
      <c r="G52" s="223"/>
      <c r="H52" s="223"/>
      <c r="I52" s="225"/>
    </row>
    <row r="53" spans="1:16" x14ac:dyDescent="0.3">
      <c r="A53" s="226" t="s">
        <v>14</v>
      </c>
      <c r="B53" s="227">
        <v>45868</v>
      </c>
      <c r="C53" s="76" t="s">
        <v>8</v>
      </c>
      <c r="D53" s="30">
        <v>428584</v>
      </c>
      <c r="E53" s="11">
        <f>215503</f>
        <v>215503</v>
      </c>
      <c r="F53" s="11">
        <f t="shared" si="2"/>
        <v>213081</v>
      </c>
      <c r="G53" s="224">
        <f>D53+D54</f>
        <v>756562</v>
      </c>
      <c r="H53" s="224">
        <f>E53+E54</f>
        <v>254403</v>
      </c>
      <c r="I53" s="228">
        <f>G53-H53</f>
        <v>502159</v>
      </c>
    </row>
    <row r="54" spans="1:16" ht="15" thickBot="1" x14ac:dyDescent="0.35">
      <c r="A54" s="222"/>
      <c r="B54" s="197"/>
      <c r="C54" s="62" t="s">
        <v>9</v>
      </c>
      <c r="D54" s="27">
        <v>327978</v>
      </c>
      <c r="E54" s="10">
        <f>34400+4500</f>
        <v>38900</v>
      </c>
      <c r="F54" s="10">
        <f t="shared" si="2"/>
        <v>289078</v>
      </c>
      <c r="G54" s="223"/>
      <c r="H54" s="223"/>
      <c r="I54" s="225"/>
    </row>
    <row r="55" spans="1:16" s="1" customFormat="1" x14ac:dyDescent="0.3">
      <c r="A55" s="194" t="s">
        <v>15</v>
      </c>
      <c r="B55" s="227">
        <v>45869</v>
      </c>
      <c r="C55" s="61" t="s">
        <v>8</v>
      </c>
      <c r="D55" s="22">
        <v>357303</v>
      </c>
      <c r="E55" s="2">
        <f>4500+85110+59263+75500</f>
        <v>224373</v>
      </c>
      <c r="F55" s="2">
        <f t="shared" si="2"/>
        <v>132930</v>
      </c>
      <c r="G55" s="198">
        <f>D55+D56</f>
        <v>860201</v>
      </c>
      <c r="H55" s="198">
        <f>E55+E56</f>
        <v>496635</v>
      </c>
      <c r="I55" s="200">
        <f>G55-H55</f>
        <v>363566</v>
      </c>
      <c r="J55"/>
      <c r="K55"/>
      <c r="L55"/>
      <c r="M55"/>
      <c r="N55"/>
      <c r="O55"/>
      <c r="P55"/>
    </row>
    <row r="56" spans="1:16" s="1" customFormat="1" ht="15" thickBot="1" x14ac:dyDescent="0.35">
      <c r="A56" s="194"/>
      <c r="B56" s="197"/>
      <c r="C56" s="61" t="s">
        <v>9</v>
      </c>
      <c r="D56" s="22">
        <v>502898</v>
      </c>
      <c r="E56" s="2">
        <f>164762+57500+50000</f>
        <v>272262</v>
      </c>
      <c r="F56" s="2">
        <f t="shared" si="2"/>
        <v>230636</v>
      </c>
      <c r="G56" s="198"/>
      <c r="H56" s="198"/>
      <c r="I56" s="200"/>
      <c r="J56"/>
      <c r="K56"/>
      <c r="L56"/>
      <c r="M56"/>
      <c r="N56"/>
      <c r="O56"/>
      <c r="P56"/>
    </row>
    <row r="57" spans="1:16" s="1" customFormat="1" ht="15" thickBot="1" x14ac:dyDescent="0.35">
      <c r="A57"/>
      <c r="B57" s="277" t="s">
        <v>10</v>
      </c>
      <c r="C57" s="278"/>
      <c r="D57" s="50">
        <f t="shared" ref="D57:I57" si="3">SUM(D3:D50)</f>
        <v>17905501</v>
      </c>
      <c r="E57" s="50">
        <f t="shared" si="3"/>
        <v>10150223</v>
      </c>
      <c r="F57" s="50">
        <f t="shared" si="3"/>
        <v>7755278</v>
      </c>
      <c r="G57" s="50">
        <f t="shared" si="3"/>
        <v>17905501</v>
      </c>
      <c r="H57" s="50">
        <f t="shared" si="3"/>
        <v>10150223</v>
      </c>
      <c r="I57" s="50">
        <f t="shared" si="3"/>
        <v>7755278</v>
      </c>
      <c r="J57"/>
      <c r="K57" s="39"/>
      <c r="L57"/>
      <c r="M57"/>
      <c r="N57"/>
      <c r="O57"/>
      <c r="P57"/>
    </row>
    <row r="58" spans="1:16" s="1" customFormat="1" x14ac:dyDescent="0.3">
      <c r="A58"/>
      <c r="J58"/>
      <c r="K58" s="39"/>
      <c r="L58"/>
      <c r="M58"/>
      <c r="N58"/>
      <c r="O58"/>
      <c r="P58"/>
    </row>
    <row r="59" spans="1:16" s="1" customFormat="1" x14ac:dyDescent="0.3">
      <c r="A59"/>
      <c r="J59"/>
      <c r="K59" s="39"/>
      <c r="L59"/>
      <c r="M59"/>
      <c r="N59"/>
      <c r="O59"/>
      <c r="P59"/>
    </row>
    <row r="60" spans="1:16" s="1" customFormat="1" x14ac:dyDescent="0.3">
      <c r="A60"/>
      <c r="J60"/>
      <c r="K60" s="39"/>
      <c r="L60"/>
      <c r="M60"/>
      <c r="N60"/>
      <c r="O60"/>
      <c r="P60"/>
    </row>
    <row r="61" spans="1:16" x14ac:dyDescent="0.3">
      <c r="K61" s="39"/>
    </row>
    <row r="62" spans="1:16" x14ac:dyDescent="0.3">
      <c r="D62" s="20" t="s">
        <v>21</v>
      </c>
      <c r="E62" s="2">
        <f>MAXA(D3:D50)</f>
        <v>586736</v>
      </c>
      <c r="F62" s="283">
        <v>45751</v>
      </c>
      <c r="G62" s="187"/>
      <c r="K62" s="39"/>
    </row>
    <row r="63" spans="1:16" x14ac:dyDescent="0.3">
      <c r="D63" s="21" t="s">
        <v>22</v>
      </c>
      <c r="E63" s="2">
        <f>IF(MINA(D3:D50)&lt;&gt;0, MINA(D3:D28))</f>
        <v>226652</v>
      </c>
      <c r="F63" s="283">
        <v>45749</v>
      </c>
      <c r="G63" s="187"/>
      <c r="K63" s="39"/>
    </row>
    <row r="64" spans="1:16" s="1" customFormat="1" x14ac:dyDescent="0.3">
      <c r="A64"/>
      <c r="C64" s="1" t="s">
        <v>20</v>
      </c>
      <c r="J64"/>
      <c r="K64"/>
      <c r="L64"/>
      <c r="M64"/>
      <c r="N64"/>
    </row>
    <row r="65" spans="1:17" x14ac:dyDescent="0.3">
      <c r="D65" s="192" t="s">
        <v>36</v>
      </c>
      <c r="E65" s="18">
        <f>AVERAGEA(G3:G12)</f>
        <v>858556.4</v>
      </c>
      <c r="F65" s="187" t="s">
        <v>23</v>
      </c>
      <c r="G65" s="187"/>
      <c r="I65" s="193" t="s">
        <v>37</v>
      </c>
      <c r="J65" s="18">
        <f>AVERAGEA(H3:H12)</f>
        <v>498751.2</v>
      </c>
      <c r="K65" s="187" t="s">
        <v>23</v>
      </c>
      <c r="L65" s="187"/>
      <c r="N65" s="188" t="s">
        <v>38</v>
      </c>
      <c r="O65" s="18">
        <f>AVERAGEA(I3:I12)</f>
        <v>359805.2</v>
      </c>
      <c r="P65" s="187" t="s">
        <v>23</v>
      </c>
      <c r="Q65" s="187"/>
    </row>
    <row r="66" spans="1:17" x14ac:dyDescent="0.3">
      <c r="D66" s="192"/>
      <c r="E66" s="18">
        <f>AVERAGEA(G13:G24)</f>
        <v>735284.16666666663</v>
      </c>
      <c r="F66" s="187" t="s">
        <v>24</v>
      </c>
      <c r="G66" s="187"/>
      <c r="I66" s="193"/>
      <c r="J66" s="18">
        <f>AVERAGEA(H13:H24)</f>
        <v>449782.66666666669</v>
      </c>
      <c r="K66" s="187" t="s">
        <v>24</v>
      </c>
      <c r="L66" s="187"/>
      <c r="N66" s="188"/>
      <c r="O66" s="18">
        <f>AVERAGEA(F13:F24)</f>
        <v>142750.75</v>
      </c>
      <c r="P66" s="187" t="s">
        <v>24</v>
      </c>
      <c r="Q66" s="187"/>
    </row>
    <row r="67" spans="1:17" x14ac:dyDescent="0.3">
      <c r="D67" s="192"/>
      <c r="E67" s="18">
        <f>AVERAGEA(G25:G36)</f>
        <v>659953.5</v>
      </c>
      <c r="F67" s="187" t="s">
        <v>25</v>
      </c>
      <c r="G67" s="187"/>
      <c r="I67" s="193"/>
      <c r="J67" s="18">
        <f>AVERAGEA(H25:H36)</f>
        <v>465679.66666666669</v>
      </c>
      <c r="K67" s="187" t="s">
        <v>25</v>
      </c>
      <c r="L67" s="187"/>
      <c r="N67" s="188"/>
      <c r="O67" s="18">
        <f>AVERAGEA(F25:F36)</f>
        <v>97136.916666666672</v>
      </c>
      <c r="P67" s="187" t="s">
        <v>25</v>
      </c>
      <c r="Q67" s="187"/>
    </row>
    <row r="68" spans="1:17" x14ac:dyDescent="0.3">
      <c r="D68" s="192"/>
      <c r="E68" s="18">
        <f>AVERAGEA(G37:G48)</f>
        <v>746833.83333333337</v>
      </c>
      <c r="F68" s="184" t="s">
        <v>26</v>
      </c>
      <c r="G68" s="185"/>
      <c r="I68" s="193"/>
      <c r="J68" s="18">
        <f>AVERAGEA(H37:H48)</f>
        <v>285843.83333333331</v>
      </c>
      <c r="K68" s="184" t="s">
        <v>26</v>
      </c>
      <c r="L68" s="185"/>
      <c r="N68" s="188"/>
      <c r="O68" s="18">
        <f>AVERAGEA(F37:F48)</f>
        <v>230495</v>
      </c>
      <c r="P68" s="184" t="s">
        <v>26</v>
      </c>
      <c r="Q68" s="185"/>
    </row>
    <row r="69" spans="1:17" x14ac:dyDescent="0.3">
      <c r="D69" s="192"/>
      <c r="E69" s="18">
        <f>AVERAGEA(G49:G56)</f>
        <v>759675.75</v>
      </c>
      <c r="F69" s="184" t="s">
        <v>34</v>
      </c>
      <c r="G69" s="185"/>
      <c r="I69" s="193"/>
      <c r="J69" s="18">
        <f>AVERAGEA(H49:H56)</f>
        <v>422884.75</v>
      </c>
      <c r="K69" s="184" t="s">
        <v>34</v>
      </c>
      <c r="L69" s="185"/>
      <c r="N69" s="188"/>
      <c r="O69" s="18">
        <f>AVERAGEA(I49:I56)</f>
        <v>336791</v>
      </c>
      <c r="P69" s="184" t="s">
        <v>34</v>
      </c>
      <c r="Q69" s="185"/>
    </row>
    <row r="70" spans="1:17" x14ac:dyDescent="0.3">
      <c r="D70" s="192"/>
      <c r="E70" s="28">
        <f>AVERAGEA(E65:E68)</f>
        <v>750156.97499999998</v>
      </c>
      <c r="F70" s="186" t="s">
        <v>10</v>
      </c>
      <c r="G70" s="186"/>
      <c r="I70" s="193"/>
      <c r="J70" s="28">
        <f>AVERAGEA(J65:J68)</f>
        <v>425014.34166666667</v>
      </c>
      <c r="K70" s="186" t="s">
        <v>10</v>
      </c>
      <c r="L70" s="186"/>
      <c r="N70" s="189"/>
      <c r="O70" s="28">
        <f>AVERAGEA(O65:O68)</f>
        <v>207546.96666666667</v>
      </c>
      <c r="P70" s="186" t="s">
        <v>10</v>
      </c>
      <c r="Q70" s="186"/>
    </row>
    <row r="72" spans="1:17" x14ac:dyDescent="0.3">
      <c r="D72"/>
      <c r="E72"/>
      <c r="F72"/>
      <c r="G72"/>
      <c r="H72"/>
      <c r="I72"/>
    </row>
    <row r="73" spans="1:17" s="1" customFormat="1" x14ac:dyDescent="0.3">
      <c r="A73"/>
      <c r="D73"/>
      <c r="E73"/>
      <c r="F73"/>
      <c r="G73"/>
      <c r="H73"/>
      <c r="I73"/>
      <c r="J73"/>
      <c r="K73"/>
      <c r="L73"/>
      <c r="M73"/>
      <c r="N73"/>
    </row>
    <row r="74" spans="1:17" x14ac:dyDescent="0.3">
      <c r="D74"/>
      <c r="E74"/>
      <c r="F74"/>
      <c r="G74"/>
      <c r="H74"/>
      <c r="I74"/>
    </row>
    <row r="75" spans="1:17" ht="27" customHeight="1" x14ac:dyDescent="0.3">
      <c r="D75"/>
      <c r="E75"/>
      <c r="F75"/>
      <c r="G75"/>
      <c r="H75"/>
      <c r="I75"/>
    </row>
    <row r="76" spans="1:17" x14ac:dyDescent="0.3">
      <c r="D76"/>
      <c r="E76"/>
      <c r="F76"/>
      <c r="G76"/>
      <c r="H76"/>
      <c r="I76"/>
    </row>
    <row r="77" spans="1:17" x14ac:dyDescent="0.3">
      <c r="D77"/>
      <c r="E77"/>
      <c r="F77"/>
      <c r="G77"/>
      <c r="H77"/>
      <c r="I77"/>
    </row>
    <row r="78" spans="1:17" x14ac:dyDescent="0.3">
      <c r="D78"/>
      <c r="E78"/>
      <c r="F78"/>
      <c r="G78"/>
      <c r="H78"/>
      <c r="I78"/>
    </row>
    <row r="79" spans="1:17" x14ac:dyDescent="0.3">
      <c r="D79"/>
      <c r="E79"/>
      <c r="F79"/>
      <c r="G79"/>
      <c r="H79"/>
      <c r="I79"/>
    </row>
    <row r="80" spans="1:17" x14ac:dyDescent="0.3">
      <c r="D80"/>
      <c r="E80"/>
      <c r="F80"/>
      <c r="G80"/>
      <c r="H80"/>
      <c r="I80"/>
    </row>
    <row r="81" spans="4:9" x14ac:dyDescent="0.3">
      <c r="D81"/>
      <c r="E81"/>
      <c r="F81"/>
      <c r="G81"/>
      <c r="H81"/>
      <c r="I81"/>
    </row>
    <row r="82" spans="4:9" x14ac:dyDescent="0.3">
      <c r="D82"/>
      <c r="E82"/>
      <c r="F82"/>
      <c r="G82"/>
      <c r="H82"/>
      <c r="I82"/>
    </row>
  </sheetData>
  <autoFilter ref="B2:I38" xr:uid="{00000000-0009-0000-0000-000001000000}"/>
  <mergeCells count="166">
    <mergeCell ref="A1:A2"/>
    <mergeCell ref="B1:B2"/>
    <mergeCell ref="C1:C2"/>
    <mergeCell ref="D1:F1"/>
    <mergeCell ref="G1:I1"/>
    <mergeCell ref="A3:A4"/>
    <mergeCell ref="B3:B4"/>
    <mergeCell ref="G3:G4"/>
    <mergeCell ref="H3:H4"/>
    <mergeCell ref="I3:I4"/>
    <mergeCell ref="A5:A6"/>
    <mergeCell ref="B5:B6"/>
    <mergeCell ref="G5:G6"/>
    <mergeCell ref="H5:H6"/>
    <mergeCell ref="I5:I6"/>
    <mergeCell ref="J15:J16"/>
    <mergeCell ref="A11:A12"/>
    <mergeCell ref="B11:B12"/>
    <mergeCell ref="G11:G12"/>
    <mergeCell ref="H11:H12"/>
    <mergeCell ref="I11:I12"/>
    <mergeCell ref="A7:A8"/>
    <mergeCell ref="B7:B8"/>
    <mergeCell ref="G7:G8"/>
    <mergeCell ref="H7:H8"/>
    <mergeCell ref="I7:I8"/>
    <mergeCell ref="A9:A10"/>
    <mergeCell ref="B9:B10"/>
    <mergeCell ref="G9:G10"/>
    <mergeCell ref="H9:H10"/>
    <mergeCell ref="I9:I10"/>
    <mergeCell ref="H17:H18"/>
    <mergeCell ref="I17:I18"/>
    <mergeCell ref="J17:J18"/>
    <mergeCell ref="A13:A14"/>
    <mergeCell ref="B13:B14"/>
    <mergeCell ref="G13:G14"/>
    <mergeCell ref="H13:H14"/>
    <mergeCell ref="I13:I14"/>
    <mergeCell ref="A15:A16"/>
    <mergeCell ref="B15:B16"/>
    <mergeCell ref="G15:G16"/>
    <mergeCell ref="H15:H16"/>
    <mergeCell ref="I15:I16"/>
    <mergeCell ref="A17:A18"/>
    <mergeCell ref="B17:B18"/>
    <mergeCell ref="G17:G18"/>
    <mergeCell ref="A19:A20"/>
    <mergeCell ref="B19:B20"/>
    <mergeCell ref="G19:G20"/>
    <mergeCell ref="H19:H20"/>
    <mergeCell ref="I19:I20"/>
    <mergeCell ref="A21:A22"/>
    <mergeCell ref="B21:B22"/>
    <mergeCell ref="G21:G22"/>
    <mergeCell ref="H21:H22"/>
    <mergeCell ref="I21:I22"/>
    <mergeCell ref="A25:A26"/>
    <mergeCell ref="B25:B26"/>
    <mergeCell ref="G25:G26"/>
    <mergeCell ref="H25:H26"/>
    <mergeCell ref="I25:I26"/>
    <mergeCell ref="A23:A24"/>
    <mergeCell ref="B23:B24"/>
    <mergeCell ref="G23:G24"/>
    <mergeCell ref="H23:H24"/>
    <mergeCell ref="I23:I24"/>
    <mergeCell ref="A27:A28"/>
    <mergeCell ref="B27:B28"/>
    <mergeCell ref="G27:G28"/>
    <mergeCell ref="H27:H28"/>
    <mergeCell ref="I27:I28"/>
    <mergeCell ref="A29:A30"/>
    <mergeCell ref="B29:B30"/>
    <mergeCell ref="G29:G30"/>
    <mergeCell ref="H29:H30"/>
    <mergeCell ref="I29:I30"/>
    <mergeCell ref="A33:A34"/>
    <mergeCell ref="B33:B34"/>
    <mergeCell ref="G33:G34"/>
    <mergeCell ref="H33:H34"/>
    <mergeCell ref="I33:I34"/>
    <mergeCell ref="A31:A32"/>
    <mergeCell ref="B31:B32"/>
    <mergeCell ref="G31:G32"/>
    <mergeCell ref="H31:H32"/>
    <mergeCell ref="I31:I32"/>
    <mergeCell ref="A35:A36"/>
    <mergeCell ref="B35:B36"/>
    <mergeCell ref="G35:G36"/>
    <mergeCell ref="H35:H36"/>
    <mergeCell ref="I35:I36"/>
    <mergeCell ref="A37:A38"/>
    <mergeCell ref="B37:B38"/>
    <mergeCell ref="G37:G38"/>
    <mergeCell ref="H37:H38"/>
    <mergeCell ref="I37:I38"/>
    <mergeCell ref="A39:A40"/>
    <mergeCell ref="B39:B40"/>
    <mergeCell ref="G39:G40"/>
    <mergeCell ref="H39:H40"/>
    <mergeCell ref="I39:I40"/>
    <mergeCell ref="A41:A42"/>
    <mergeCell ref="B41:B42"/>
    <mergeCell ref="G41:G42"/>
    <mergeCell ref="H41:H42"/>
    <mergeCell ref="I41:I42"/>
    <mergeCell ref="A43:A44"/>
    <mergeCell ref="B43:B44"/>
    <mergeCell ref="G43:G44"/>
    <mergeCell ref="H43:H44"/>
    <mergeCell ref="I43:I44"/>
    <mergeCell ref="A45:A46"/>
    <mergeCell ref="B45:B46"/>
    <mergeCell ref="G45:G46"/>
    <mergeCell ref="H45:H46"/>
    <mergeCell ref="I45:I46"/>
    <mergeCell ref="A47:A48"/>
    <mergeCell ref="B47:B48"/>
    <mergeCell ref="G47:G48"/>
    <mergeCell ref="H47:H48"/>
    <mergeCell ref="I47:I48"/>
    <mergeCell ref="A49:A50"/>
    <mergeCell ref="B49:B50"/>
    <mergeCell ref="G49:G50"/>
    <mergeCell ref="H49:H50"/>
    <mergeCell ref="I49:I50"/>
    <mergeCell ref="F70:G70"/>
    <mergeCell ref="K70:L70"/>
    <mergeCell ref="P70:Q70"/>
    <mergeCell ref="K65:L65"/>
    <mergeCell ref="N65:N70"/>
    <mergeCell ref="P65:Q65"/>
    <mergeCell ref="F66:G66"/>
    <mergeCell ref="K66:L66"/>
    <mergeCell ref="P66:Q66"/>
    <mergeCell ref="F67:G67"/>
    <mergeCell ref="K67:L67"/>
    <mergeCell ref="P67:Q67"/>
    <mergeCell ref="F68:G68"/>
    <mergeCell ref="F65:G65"/>
    <mergeCell ref="I65:I70"/>
    <mergeCell ref="H51:H52"/>
    <mergeCell ref="I51:I52"/>
    <mergeCell ref="A53:A54"/>
    <mergeCell ref="B53:B54"/>
    <mergeCell ref="G53:G54"/>
    <mergeCell ref="H53:H54"/>
    <mergeCell ref="I53:I54"/>
    <mergeCell ref="K68:L68"/>
    <mergeCell ref="P68:Q68"/>
    <mergeCell ref="B57:C57"/>
    <mergeCell ref="F62:G62"/>
    <mergeCell ref="F63:G63"/>
    <mergeCell ref="D65:D70"/>
    <mergeCell ref="A55:A56"/>
    <mergeCell ref="B55:B56"/>
    <mergeCell ref="G55:G56"/>
    <mergeCell ref="H55:H56"/>
    <mergeCell ref="I55:I56"/>
    <mergeCell ref="A51:A52"/>
    <mergeCell ref="B51:B52"/>
    <mergeCell ref="G51:G52"/>
    <mergeCell ref="F69:G69"/>
    <mergeCell ref="K69:L69"/>
    <mergeCell ref="P69:Q69"/>
  </mergeCell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A022-080B-4871-80BB-F1DCE7DAB535}">
  <sheetPr>
    <tabColor theme="2" tint="-9.9978637043366805E-2"/>
  </sheetPr>
  <dimension ref="A1:T80"/>
  <sheetViews>
    <sheetView showGridLines="0" zoomScale="85" zoomScaleNormal="85" workbookViewId="0">
      <pane xSplit="3" ySplit="2" topLeftCell="D37" activePane="bottomRight" state="frozen"/>
      <selection activeCell="S39" sqref="S39"/>
      <selection pane="topRight" activeCell="S39" sqref="S39"/>
      <selection pane="bottomLeft" activeCell="S39" sqref="S39"/>
      <selection pane="bottomRight" activeCell="S39" sqref="S39"/>
    </sheetView>
  </sheetViews>
  <sheetFormatPr baseColWidth="10" defaultRowHeight="14.4" x14ac:dyDescent="0.3"/>
  <cols>
    <col min="1" max="1" width="8.88671875" customWidth="1"/>
    <col min="2" max="2" width="10.88671875" style="1" customWidth="1"/>
    <col min="3" max="3" width="8.88671875" style="1" customWidth="1"/>
    <col min="4" max="4" width="13.33203125" style="1" customWidth="1"/>
    <col min="5" max="5" width="11.88671875" style="1" customWidth="1"/>
    <col min="6" max="6" width="11.33203125" style="1" customWidth="1"/>
    <col min="7" max="7" width="11.44140625" style="1" customWidth="1"/>
    <col min="8" max="8" width="13.44140625" style="1" customWidth="1"/>
    <col min="9" max="9" width="11.88671875" style="1" customWidth="1"/>
    <col min="10" max="10" width="12" bestFit="1" customWidth="1"/>
    <col min="11" max="11" width="12.33203125" bestFit="1" customWidth="1"/>
  </cols>
  <sheetData>
    <row r="1" spans="1:14" x14ac:dyDescent="0.3">
      <c r="A1" s="241" t="s">
        <v>12</v>
      </c>
      <c r="B1" s="241" t="s">
        <v>0</v>
      </c>
      <c r="C1" s="241" t="s">
        <v>1</v>
      </c>
      <c r="D1" s="243" t="s">
        <v>7</v>
      </c>
      <c r="E1" s="244"/>
      <c r="F1" s="244"/>
      <c r="G1" s="245" t="s">
        <v>10</v>
      </c>
      <c r="H1" s="246"/>
      <c r="I1" s="247"/>
    </row>
    <row r="2" spans="1:14" ht="15" thickBot="1" x14ac:dyDescent="0.35">
      <c r="A2" s="242"/>
      <c r="B2" s="242"/>
      <c r="C2" s="242"/>
      <c r="D2" s="4" t="s">
        <v>4</v>
      </c>
      <c r="E2" s="5" t="s">
        <v>5</v>
      </c>
      <c r="F2" s="7" t="s">
        <v>6</v>
      </c>
      <c r="G2" s="8" t="s">
        <v>2</v>
      </c>
      <c r="H2" s="5" t="s">
        <v>11</v>
      </c>
      <c r="I2" s="9" t="s">
        <v>3</v>
      </c>
    </row>
    <row r="3" spans="1:14" x14ac:dyDescent="0.3">
      <c r="A3" s="194" t="s">
        <v>16</v>
      </c>
      <c r="B3" s="196">
        <v>45870</v>
      </c>
      <c r="C3" s="61" t="s">
        <v>8</v>
      </c>
      <c r="D3" s="22">
        <v>483272</v>
      </c>
      <c r="E3" s="2">
        <f>4500+32500+13800+242518</f>
        <v>293318</v>
      </c>
      <c r="F3" s="2">
        <f t="shared" ref="F3:F32" si="0">D3-E3</f>
        <v>189954</v>
      </c>
      <c r="G3" s="198">
        <f>D3+D4</f>
        <v>967905</v>
      </c>
      <c r="H3" s="198">
        <f>E3+E4</f>
        <v>574670</v>
      </c>
      <c r="I3" s="200">
        <f>G3-H3</f>
        <v>393235</v>
      </c>
    </row>
    <row r="4" spans="1:14" ht="15" thickBot="1" x14ac:dyDescent="0.35">
      <c r="A4" s="195"/>
      <c r="B4" s="197"/>
      <c r="C4" s="79" t="s">
        <v>9</v>
      </c>
      <c r="D4" s="29">
        <v>484633</v>
      </c>
      <c r="E4" s="6">
        <f>139000+11000+70000+6352+40000+15000</f>
        <v>281352</v>
      </c>
      <c r="F4" s="6">
        <f t="shared" si="0"/>
        <v>203281</v>
      </c>
      <c r="G4" s="199"/>
      <c r="H4" s="199"/>
      <c r="I4" s="201"/>
    </row>
    <row r="5" spans="1:14" x14ac:dyDescent="0.3">
      <c r="A5" s="202" t="s">
        <v>13</v>
      </c>
      <c r="B5" s="204">
        <v>45871</v>
      </c>
      <c r="C5" s="77" t="s">
        <v>8</v>
      </c>
      <c r="D5" s="35">
        <v>273041</v>
      </c>
      <c r="E5" s="36">
        <f>4500+66000</f>
        <v>70500</v>
      </c>
      <c r="F5" s="36">
        <f t="shared" si="0"/>
        <v>202541</v>
      </c>
      <c r="G5" s="206">
        <f>D5+D6</f>
        <v>541490</v>
      </c>
      <c r="H5" s="206">
        <f>E5+E6</f>
        <v>589675</v>
      </c>
      <c r="I5" s="208">
        <f>G5-H5</f>
        <v>-48185</v>
      </c>
    </row>
    <row r="6" spans="1:14" ht="15" thickBot="1" x14ac:dyDescent="0.35">
      <c r="A6" s="203"/>
      <c r="B6" s="280"/>
      <c r="C6" s="78" t="s">
        <v>35</v>
      </c>
      <c r="D6" s="37">
        <v>268449</v>
      </c>
      <c r="E6" s="38">
        <f>519175</f>
        <v>519175</v>
      </c>
      <c r="F6" s="38">
        <f t="shared" si="0"/>
        <v>-250726</v>
      </c>
      <c r="G6" s="207"/>
      <c r="H6" s="207"/>
      <c r="I6" s="209"/>
    </row>
    <row r="7" spans="1:14" s="1" customFormat="1" ht="14.25" customHeight="1" x14ac:dyDescent="0.3">
      <c r="A7" s="219" t="s">
        <v>17</v>
      </c>
      <c r="B7" s="196">
        <v>45873</v>
      </c>
      <c r="C7" s="60" t="s">
        <v>8</v>
      </c>
      <c r="D7" s="23">
        <v>378962</v>
      </c>
      <c r="E7" s="3">
        <f>9000+9800+80283+317899+38500</f>
        <v>455482</v>
      </c>
      <c r="F7" s="3">
        <f t="shared" si="0"/>
        <v>-76520</v>
      </c>
      <c r="G7" s="220">
        <f>D7+D8</f>
        <v>960363</v>
      </c>
      <c r="H7" s="220">
        <f>E7+E8</f>
        <v>997482</v>
      </c>
      <c r="I7" s="221">
        <f>G7-H7</f>
        <v>-37119</v>
      </c>
      <c r="J7"/>
      <c r="K7"/>
      <c r="L7"/>
      <c r="M7"/>
      <c r="N7"/>
    </row>
    <row r="8" spans="1:14" s="1" customFormat="1" ht="15" thickBot="1" x14ac:dyDescent="0.35">
      <c r="A8" s="194"/>
      <c r="B8" s="197"/>
      <c r="C8" s="61" t="s">
        <v>9</v>
      </c>
      <c r="D8" s="22">
        <v>581401</v>
      </c>
      <c r="E8" s="2">
        <f>542000</f>
        <v>542000</v>
      </c>
      <c r="F8" s="2">
        <f t="shared" si="0"/>
        <v>39401</v>
      </c>
      <c r="G8" s="198"/>
      <c r="H8" s="198"/>
      <c r="I8" s="200"/>
      <c r="J8"/>
      <c r="K8"/>
      <c r="L8"/>
      <c r="M8"/>
      <c r="N8"/>
    </row>
    <row r="9" spans="1:14" s="1" customFormat="1" x14ac:dyDescent="0.3">
      <c r="A9" s="194" t="s">
        <v>18</v>
      </c>
      <c r="B9" s="196">
        <v>45874</v>
      </c>
      <c r="C9" s="61" t="s">
        <v>8</v>
      </c>
      <c r="D9" s="22">
        <v>482888</v>
      </c>
      <c r="E9" s="2">
        <f>9000+240529</f>
        <v>249529</v>
      </c>
      <c r="F9" s="2">
        <f t="shared" si="0"/>
        <v>233359</v>
      </c>
      <c r="G9" s="198">
        <f>D9+D10</f>
        <v>1171092</v>
      </c>
      <c r="H9" s="198">
        <f>E9+E10</f>
        <v>491652</v>
      </c>
      <c r="I9" s="200">
        <f>G9-H9</f>
        <v>679440</v>
      </c>
      <c r="K9"/>
      <c r="L9"/>
      <c r="M9"/>
      <c r="N9"/>
    </row>
    <row r="10" spans="1:14" s="1" customFormat="1" ht="15" thickBot="1" x14ac:dyDescent="0.35">
      <c r="A10" s="194"/>
      <c r="B10" s="197"/>
      <c r="C10" s="61" t="s">
        <v>9</v>
      </c>
      <c r="D10" s="22">
        <v>688204</v>
      </c>
      <c r="E10" s="2">
        <f>74500+60000+38223+34400+30000+5000</f>
        <v>242123</v>
      </c>
      <c r="F10" s="2">
        <f t="shared" si="0"/>
        <v>446081</v>
      </c>
      <c r="G10" s="198"/>
      <c r="H10" s="198"/>
      <c r="I10" s="200"/>
      <c r="K10"/>
      <c r="L10"/>
    </row>
    <row r="11" spans="1:14" s="1" customFormat="1" ht="14.25" customHeight="1" x14ac:dyDescent="0.3">
      <c r="A11" s="194" t="s">
        <v>19</v>
      </c>
      <c r="B11" s="196">
        <v>45875</v>
      </c>
      <c r="C11" s="67" t="s">
        <v>8</v>
      </c>
      <c r="D11" s="68">
        <v>395833</v>
      </c>
      <c r="E11" s="69">
        <f>9000+260063</f>
        <v>269063</v>
      </c>
      <c r="F11" s="69">
        <f t="shared" si="0"/>
        <v>126770</v>
      </c>
      <c r="G11" s="236">
        <f>D11+D12</f>
        <v>886838</v>
      </c>
      <c r="H11" s="236">
        <f>E11+E12</f>
        <v>649002</v>
      </c>
      <c r="I11" s="238">
        <f>G11-H11</f>
        <v>237836</v>
      </c>
      <c r="J11" s="210"/>
      <c r="K11"/>
      <c r="L11"/>
    </row>
    <row r="12" spans="1:14" s="1" customFormat="1" ht="15" thickBot="1" x14ac:dyDescent="0.35">
      <c r="A12" s="194"/>
      <c r="B12" s="197"/>
      <c r="C12" s="67" t="s">
        <v>9</v>
      </c>
      <c r="D12" s="68">
        <v>491005</v>
      </c>
      <c r="E12" s="69">
        <f>38500+139000+21039+9800+171600</f>
        <v>379939</v>
      </c>
      <c r="F12" s="69">
        <f t="shared" si="0"/>
        <v>111066</v>
      </c>
      <c r="G12" s="236"/>
      <c r="H12" s="236"/>
      <c r="I12" s="238"/>
      <c r="J12" s="210"/>
      <c r="K12"/>
      <c r="L12"/>
    </row>
    <row r="13" spans="1:14" s="1" customFormat="1" x14ac:dyDescent="0.3">
      <c r="A13" s="194" t="s">
        <v>15</v>
      </c>
      <c r="B13" s="196">
        <v>45876</v>
      </c>
      <c r="C13" s="104" t="s">
        <v>8</v>
      </c>
      <c r="D13" s="2">
        <v>423552</v>
      </c>
      <c r="E13" s="2">
        <f>9000+69680+38500+60221+147841+80000</f>
        <v>405242</v>
      </c>
      <c r="F13" s="2">
        <f t="shared" si="0"/>
        <v>18310</v>
      </c>
      <c r="G13" s="198">
        <f>D13+D14</f>
        <v>912953</v>
      </c>
      <c r="H13" s="198">
        <f>E13+E14</f>
        <v>1035242</v>
      </c>
      <c r="I13" s="200">
        <f>G13-H13</f>
        <v>-122289</v>
      </c>
      <c r="J13" s="248" t="s">
        <v>42</v>
      </c>
      <c r="K13"/>
      <c r="L13"/>
      <c r="M13"/>
      <c r="N13"/>
    </row>
    <row r="14" spans="1:14" s="1" customFormat="1" ht="15" thickBot="1" x14ac:dyDescent="0.35">
      <c r="A14" s="194"/>
      <c r="B14" s="197"/>
      <c r="C14" s="104" t="s">
        <v>9</v>
      </c>
      <c r="D14" s="2">
        <v>489401</v>
      </c>
      <c r="E14" s="2">
        <f>630000</f>
        <v>630000</v>
      </c>
      <c r="F14" s="2">
        <f t="shared" si="0"/>
        <v>-140599</v>
      </c>
      <c r="G14" s="198"/>
      <c r="H14" s="198"/>
      <c r="I14" s="200"/>
      <c r="J14" s="249"/>
      <c r="K14"/>
      <c r="L14"/>
      <c r="M14"/>
      <c r="N14"/>
    </row>
    <row r="15" spans="1:14" x14ac:dyDescent="0.3">
      <c r="A15" s="194" t="s">
        <v>16</v>
      </c>
      <c r="B15" s="196">
        <v>45877</v>
      </c>
      <c r="C15" s="104" t="s">
        <v>8</v>
      </c>
      <c r="D15" s="2">
        <v>517849</v>
      </c>
      <c r="E15" s="2">
        <f>9000+38500+59263+17700+23400+70000+275000+107000+15000+20500+95450</f>
        <v>730813</v>
      </c>
      <c r="F15" s="2">
        <f t="shared" si="0"/>
        <v>-212964</v>
      </c>
      <c r="G15" s="198">
        <f>D15+D16</f>
        <v>1238222</v>
      </c>
      <c r="H15" s="198">
        <f>E15+E16</f>
        <v>1147379</v>
      </c>
      <c r="I15" s="200">
        <f>G15-H15</f>
        <v>90843</v>
      </c>
    </row>
    <row r="16" spans="1:14" ht="15" thickBot="1" x14ac:dyDescent="0.35">
      <c r="A16" s="195"/>
      <c r="B16" s="229"/>
      <c r="C16" s="105" t="s">
        <v>9</v>
      </c>
      <c r="D16" s="6">
        <v>720373</v>
      </c>
      <c r="E16" s="6">
        <f>416566</f>
        <v>416566</v>
      </c>
      <c r="F16" s="6">
        <f t="shared" si="0"/>
        <v>303807</v>
      </c>
      <c r="G16" s="199"/>
      <c r="H16" s="199"/>
      <c r="I16" s="201"/>
    </row>
    <row r="17" spans="1:20" x14ac:dyDescent="0.3">
      <c r="A17" s="317" t="s">
        <v>13</v>
      </c>
      <c r="B17" s="335">
        <v>45878</v>
      </c>
      <c r="C17" s="131" t="s">
        <v>8</v>
      </c>
      <c r="D17" s="111">
        <v>255751</v>
      </c>
      <c r="E17" s="111">
        <f>9000+83500+70000</f>
        <v>162500</v>
      </c>
      <c r="F17" s="111">
        <f t="shared" si="0"/>
        <v>93251</v>
      </c>
      <c r="G17" s="321">
        <f>D17+D18</f>
        <v>621187</v>
      </c>
      <c r="H17" s="321">
        <f>E17+E18</f>
        <v>400500</v>
      </c>
      <c r="I17" s="323">
        <f>G17-H17</f>
        <v>220687</v>
      </c>
    </row>
    <row r="18" spans="1:20" ht="15" thickBot="1" x14ac:dyDescent="0.35">
      <c r="A18" s="318"/>
      <c r="B18" s="345"/>
      <c r="C18" s="132" t="s">
        <v>35</v>
      </c>
      <c r="D18" s="114">
        <v>365436</v>
      </c>
      <c r="E18" s="114">
        <f>70000+130000+20000+18000</f>
        <v>238000</v>
      </c>
      <c r="F18" s="114">
        <f t="shared" si="0"/>
        <v>127436</v>
      </c>
      <c r="G18" s="322"/>
      <c r="H18" s="322"/>
      <c r="I18" s="324"/>
    </row>
    <row r="19" spans="1:20" s="1" customFormat="1" x14ac:dyDescent="0.3">
      <c r="A19" s="219" t="s">
        <v>17</v>
      </c>
      <c r="B19" s="196">
        <v>45880</v>
      </c>
      <c r="C19" s="60" t="s">
        <v>8</v>
      </c>
      <c r="D19" s="23">
        <v>280698</v>
      </c>
      <c r="E19" s="3">
        <f>9000+34400+60000</f>
        <v>103400</v>
      </c>
      <c r="F19" s="3">
        <f>D19-E19</f>
        <v>177298</v>
      </c>
      <c r="G19" s="220">
        <f>D19+D20</f>
        <v>712317</v>
      </c>
      <c r="H19" s="220">
        <f>E19+E20</f>
        <v>308694</v>
      </c>
      <c r="I19" s="221">
        <f>G19-H19</f>
        <v>403623</v>
      </c>
      <c r="J19"/>
      <c r="K19"/>
      <c r="L19"/>
      <c r="M19"/>
      <c r="N19"/>
      <c r="O19"/>
      <c r="P19"/>
      <c r="S19" s="85"/>
      <c r="T19" t="s">
        <v>52</v>
      </c>
    </row>
    <row r="20" spans="1:20" s="1" customFormat="1" ht="15" thickBot="1" x14ac:dyDescent="0.35">
      <c r="A20" s="194"/>
      <c r="B20" s="197"/>
      <c r="C20" s="61" t="s">
        <v>9</v>
      </c>
      <c r="D20" s="22">
        <v>431619</v>
      </c>
      <c r="E20" s="2">
        <f>205294</f>
        <v>205294</v>
      </c>
      <c r="F20" s="2">
        <f>D20-E20</f>
        <v>226325</v>
      </c>
      <c r="G20" s="198"/>
      <c r="H20" s="198"/>
      <c r="I20" s="200"/>
      <c r="J20"/>
      <c r="K20"/>
      <c r="L20"/>
      <c r="M20"/>
      <c r="N20"/>
      <c r="O20"/>
      <c r="P20"/>
      <c r="S20" s="43"/>
      <c r="T20" t="s">
        <v>41</v>
      </c>
    </row>
    <row r="21" spans="1:20" s="1" customFormat="1" x14ac:dyDescent="0.3">
      <c r="A21" s="219" t="s">
        <v>18</v>
      </c>
      <c r="B21" s="196">
        <v>45881</v>
      </c>
      <c r="C21" s="60" t="s">
        <v>8</v>
      </c>
      <c r="D21" s="23">
        <v>325478</v>
      </c>
      <c r="E21" s="3">
        <f>9000+85181+25600+171600+38500</f>
        <v>329881</v>
      </c>
      <c r="F21" s="3">
        <f t="shared" si="0"/>
        <v>-4403</v>
      </c>
      <c r="G21" s="220">
        <f>D21+D22</f>
        <v>864354</v>
      </c>
      <c r="H21" s="220">
        <f>E21+E22</f>
        <v>617472</v>
      </c>
      <c r="I21" s="221">
        <f>G21-H21</f>
        <v>246882</v>
      </c>
      <c r="J21"/>
      <c r="K21"/>
      <c r="L21"/>
      <c r="M21"/>
      <c r="N21"/>
      <c r="O21"/>
      <c r="P21"/>
    </row>
    <row r="22" spans="1:20" s="1" customFormat="1" ht="15" thickBot="1" x14ac:dyDescent="0.35">
      <c r="A22" s="194"/>
      <c r="B22" s="197"/>
      <c r="C22" s="61" t="s">
        <v>9</v>
      </c>
      <c r="D22" s="22">
        <v>538876</v>
      </c>
      <c r="E22" s="2">
        <f>247591+30000+10000</f>
        <v>287591</v>
      </c>
      <c r="F22" s="2">
        <f t="shared" si="0"/>
        <v>251285</v>
      </c>
      <c r="G22" s="198"/>
      <c r="H22" s="198"/>
      <c r="I22" s="200"/>
      <c r="J22"/>
      <c r="K22"/>
      <c r="L22"/>
      <c r="M22"/>
      <c r="N22"/>
      <c r="O22"/>
      <c r="P22"/>
    </row>
    <row r="23" spans="1:20" s="1" customFormat="1" ht="14.25" customHeight="1" x14ac:dyDescent="0.3">
      <c r="A23" s="219" t="s">
        <v>19</v>
      </c>
      <c r="B23" s="196">
        <v>45882</v>
      </c>
      <c r="C23" s="60" t="s">
        <v>8</v>
      </c>
      <c r="D23" s="23">
        <v>386846</v>
      </c>
      <c r="E23" s="3">
        <f>9000+22600+48108+185150</f>
        <v>264858</v>
      </c>
      <c r="F23" s="3">
        <f t="shared" si="0"/>
        <v>121988</v>
      </c>
      <c r="G23" s="220">
        <f>D23+D24</f>
        <v>902660</v>
      </c>
      <c r="H23" s="220">
        <f>E23+E24</f>
        <v>622771</v>
      </c>
      <c r="I23" s="221">
        <f>G23-H23</f>
        <v>279889</v>
      </c>
      <c r="J23"/>
      <c r="K23"/>
      <c r="L23"/>
      <c r="O23"/>
      <c r="P23"/>
    </row>
    <row r="24" spans="1:20" s="1" customFormat="1" ht="15" thickBot="1" x14ac:dyDescent="0.35">
      <c r="A24" s="194"/>
      <c r="B24" s="197"/>
      <c r="C24" s="61" t="s">
        <v>9</v>
      </c>
      <c r="D24" s="22">
        <v>515814</v>
      </c>
      <c r="E24" s="2">
        <f>357913</f>
        <v>357913</v>
      </c>
      <c r="F24" s="2">
        <f t="shared" si="0"/>
        <v>157901</v>
      </c>
      <c r="G24" s="198"/>
      <c r="H24" s="198"/>
      <c r="I24" s="200"/>
      <c r="J24"/>
      <c r="K24"/>
      <c r="L24"/>
      <c r="O24"/>
      <c r="P24"/>
    </row>
    <row r="25" spans="1:20" s="1" customFormat="1" x14ac:dyDescent="0.3">
      <c r="A25" s="219" t="s">
        <v>15</v>
      </c>
      <c r="B25" s="196">
        <v>45883</v>
      </c>
      <c r="C25" s="60" t="s">
        <v>8</v>
      </c>
      <c r="D25" s="23">
        <v>398615</v>
      </c>
      <c r="E25" s="3">
        <f>9000+46000+44398+163490</f>
        <v>262888</v>
      </c>
      <c r="F25" s="3">
        <f t="shared" si="0"/>
        <v>135727</v>
      </c>
      <c r="G25" s="220">
        <f>D25+D26</f>
        <v>949403</v>
      </c>
      <c r="H25" s="220">
        <f>E25+E26</f>
        <v>380488</v>
      </c>
      <c r="I25" s="221">
        <f>G25-H25</f>
        <v>568915</v>
      </c>
      <c r="J25"/>
      <c r="K25"/>
      <c r="L25"/>
      <c r="O25"/>
      <c r="P25"/>
    </row>
    <row r="26" spans="1:20" s="1" customFormat="1" ht="15" thickBot="1" x14ac:dyDescent="0.35">
      <c r="A26" s="194"/>
      <c r="B26" s="197"/>
      <c r="C26" s="61" t="s">
        <v>9</v>
      </c>
      <c r="D26" s="22">
        <v>550788</v>
      </c>
      <c r="E26" s="2">
        <f>52600+15000+15000+20000+15000</f>
        <v>117600</v>
      </c>
      <c r="F26" s="2">
        <f t="shared" si="0"/>
        <v>433188</v>
      </c>
      <c r="G26" s="198"/>
      <c r="H26" s="198"/>
      <c r="I26" s="200"/>
      <c r="J26"/>
      <c r="K26"/>
      <c r="L26"/>
      <c r="M26"/>
      <c r="N26"/>
      <c r="O26"/>
      <c r="P26"/>
    </row>
    <row r="27" spans="1:20" x14ac:dyDescent="0.3">
      <c r="A27" s="219" t="s">
        <v>16</v>
      </c>
      <c r="B27" s="196">
        <v>45884</v>
      </c>
      <c r="C27" s="60" t="s">
        <v>8</v>
      </c>
      <c r="D27" s="23">
        <v>269026</v>
      </c>
      <c r="E27" s="3">
        <f>9000+15900+67500</f>
        <v>92400</v>
      </c>
      <c r="F27" s="3">
        <f t="shared" si="0"/>
        <v>176626</v>
      </c>
      <c r="G27" s="220">
        <f>D27+D28</f>
        <v>820259</v>
      </c>
      <c r="H27" s="220">
        <f>E27+E28</f>
        <v>134650</v>
      </c>
      <c r="I27" s="221">
        <f>G27-H27</f>
        <v>685609</v>
      </c>
    </row>
    <row r="28" spans="1:20" ht="15" thickBot="1" x14ac:dyDescent="0.35">
      <c r="A28" s="194"/>
      <c r="B28" s="197"/>
      <c r="C28" s="61" t="s">
        <v>9</v>
      </c>
      <c r="D28" s="22">
        <v>551233</v>
      </c>
      <c r="E28" s="2">
        <f>14700+27550</f>
        <v>42250</v>
      </c>
      <c r="F28" s="2">
        <f t="shared" si="0"/>
        <v>508983</v>
      </c>
      <c r="G28" s="198"/>
      <c r="H28" s="198"/>
      <c r="I28" s="200"/>
    </row>
    <row r="29" spans="1:20" x14ac:dyDescent="0.3">
      <c r="A29" s="202" t="s">
        <v>13</v>
      </c>
      <c r="B29" s="204">
        <v>45885</v>
      </c>
      <c r="C29" s="77" t="s">
        <v>8</v>
      </c>
      <c r="D29" s="35">
        <v>151215</v>
      </c>
      <c r="E29" s="36">
        <f>9000</f>
        <v>9000</v>
      </c>
      <c r="F29" s="36">
        <f t="shared" si="0"/>
        <v>142215</v>
      </c>
      <c r="G29" s="206">
        <f>D29+D30</f>
        <v>486297</v>
      </c>
      <c r="H29" s="206">
        <f>E29+E30</f>
        <v>246356</v>
      </c>
      <c r="I29" s="208">
        <f>G29-H29</f>
        <v>239941</v>
      </c>
    </row>
    <row r="30" spans="1:20" ht="15" thickBot="1" x14ac:dyDescent="0.35">
      <c r="A30" s="203"/>
      <c r="B30" s="280"/>
      <c r="C30" s="78" t="s">
        <v>9</v>
      </c>
      <c r="D30" s="37">
        <v>335082</v>
      </c>
      <c r="E30" s="38">
        <f>237356</f>
        <v>237356</v>
      </c>
      <c r="F30" s="38">
        <f t="shared" si="0"/>
        <v>97726</v>
      </c>
      <c r="G30" s="207"/>
      <c r="H30" s="207"/>
      <c r="I30" s="209"/>
    </row>
    <row r="31" spans="1:20" x14ac:dyDescent="0.3">
      <c r="A31" s="226" t="s">
        <v>17</v>
      </c>
      <c r="B31" s="227">
        <v>45887</v>
      </c>
      <c r="C31" s="76" t="s">
        <v>8</v>
      </c>
      <c r="D31" s="30">
        <v>420389</v>
      </c>
      <c r="E31" s="11">
        <f>9000+26500+42434</f>
        <v>77934</v>
      </c>
      <c r="F31" s="11">
        <f t="shared" si="0"/>
        <v>342455</v>
      </c>
      <c r="G31" s="224">
        <f>D31+D32</f>
        <v>981026</v>
      </c>
      <c r="H31" s="224">
        <f>E31+E32</f>
        <v>150177</v>
      </c>
      <c r="I31" s="228">
        <f>G31-H31</f>
        <v>830849</v>
      </c>
    </row>
    <row r="32" spans="1:20" ht="15" thickBot="1" x14ac:dyDescent="0.35">
      <c r="A32" s="222"/>
      <c r="B32" s="197"/>
      <c r="C32" s="62" t="s">
        <v>9</v>
      </c>
      <c r="D32" s="27">
        <v>560637</v>
      </c>
      <c r="E32" s="10">
        <f>60243+12000</f>
        <v>72243</v>
      </c>
      <c r="F32" s="10">
        <f t="shared" si="0"/>
        <v>488394</v>
      </c>
      <c r="G32" s="223"/>
      <c r="H32" s="223"/>
      <c r="I32" s="225"/>
    </row>
    <row r="33" spans="1:16" x14ac:dyDescent="0.3">
      <c r="A33" s="226" t="s">
        <v>18</v>
      </c>
      <c r="B33" s="227">
        <v>45888</v>
      </c>
      <c r="C33" s="76" t="s">
        <v>8</v>
      </c>
      <c r="D33" s="30">
        <v>418057</v>
      </c>
      <c r="E33" s="11">
        <f>9000+65500+10000+23000+82448+70000+5000+174600+11900+60000+15000+14000</f>
        <v>540448</v>
      </c>
      <c r="F33" s="11">
        <f>D33-E33</f>
        <v>-122391</v>
      </c>
      <c r="G33" s="224">
        <f>D33+D34</f>
        <v>1128925</v>
      </c>
      <c r="H33" s="224">
        <f>E33+E34</f>
        <v>1109978</v>
      </c>
      <c r="I33" s="228">
        <f>G33-H33</f>
        <v>18947</v>
      </c>
    </row>
    <row r="34" spans="1:16" ht="15" thickBot="1" x14ac:dyDescent="0.35">
      <c r="A34" s="222"/>
      <c r="B34" s="197"/>
      <c r="C34" s="62" t="s">
        <v>9</v>
      </c>
      <c r="D34" s="27">
        <v>710868</v>
      </c>
      <c r="E34" s="10">
        <f>569530</f>
        <v>569530</v>
      </c>
      <c r="F34" s="10">
        <f>D34-E34</f>
        <v>141338</v>
      </c>
      <c r="G34" s="223"/>
      <c r="H34" s="223"/>
      <c r="I34" s="225"/>
    </row>
    <row r="35" spans="1:16" x14ac:dyDescent="0.3">
      <c r="A35" s="226" t="s">
        <v>14</v>
      </c>
      <c r="B35" s="227">
        <v>45889</v>
      </c>
      <c r="C35" s="76" t="s">
        <v>8</v>
      </c>
      <c r="D35" s="30">
        <v>321144</v>
      </c>
      <c r="E35" s="11">
        <f>470000</f>
        <v>470000</v>
      </c>
      <c r="F35" s="11">
        <f>D35-E35</f>
        <v>-148856</v>
      </c>
      <c r="G35" s="224">
        <f>D35+D36</f>
        <v>899002</v>
      </c>
      <c r="H35" s="224">
        <f>E35+E36</f>
        <v>864087</v>
      </c>
      <c r="I35" s="228">
        <f>G35-H35</f>
        <v>34915</v>
      </c>
    </row>
    <row r="36" spans="1:16" ht="15" thickBot="1" x14ac:dyDescent="0.35">
      <c r="A36" s="222"/>
      <c r="B36" s="197"/>
      <c r="C36" s="62" t="s">
        <v>9</v>
      </c>
      <c r="D36" s="27">
        <v>577858</v>
      </c>
      <c r="E36" s="10">
        <f>9000+14500+224644+60243+17700+33000+35000</f>
        <v>394087</v>
      </c>
      <c r="F36" s="10">
        <f>D36-E36</f>
        <v>183771</v>
      </c>
      <c r="G36" s="223"/>
      <c r="H36" s="223"/>
      <c r="I36" s="225"/>
      <c r="M36" s="13" t="s">
        <v>2</v>
      </c>
      <c r="N36" s="12">
        <v>1</v>
      </c>
    </row>
    <row r="37" spans="1:16" s="1" customFormat="1" x14ac:dyDescent="0.3">
      <c r="A37" s="194" t="s">
        <v>15</v>
      </c>
      <c r="B37" s="227">
        <v>45890</v>
      </c>
      <c r="C37" s="61" t="s">
        <v>8</v>
      </c>
      <c r="D37" s="22">
        <v>300746</v>
      </c>
      <c r="E37" s="11">
        <f>9000+15750+20000+15000+86610</f>
        <v>146360</v>
      </c>
      <c r="F37" s="2">
        <f t="shared" ref="F37:F44" si="1">D37-E37</f>
        <v>154386</v>
      </c>
      <c r="G37" s="198">
        <f>D37+D38</f>
        <v>852525</v>
      </c>
      <c r="H37" s="198">
        <f>E37+E38</f>
        <v>330216</v>
      </c>
      <c r="I37" s="200">
        <f>G37-H37</f>
        <v>522309</v>
      </c>
      <c r="J37"/>
      <c r="K37"/>
      <c r="L37"/>
      <c r="M37" s="14" t="s">
        <v>11</v>
      </c>
      <c r="N37" s="17">
        <f>H55*100/G55/100</f>
        <v>0.66829245678509064</v>
      </c>
      <c r="O37"/>
      <c r="P37"/>
    </row>
    <row r="38" spans="1:16" s="1" customFormat="1" ht="15" thickBot="1" x14ac:dyDescent="0.35">
      <c r="A38" s="194"/>
      <c r="B38" s="197"/>
      <c r="C38" s="61" t="s">
        <v>9</v>
      </c>
      <c r="D38" s="22">
        <v>551779</v>
      </c>
      <c r="E38" s="10">
        <f>26500+157356</f>
        <v>183856</v>
      </c>
      <c r="F38" s="2">
        <f t="shared" si="1"/>
        <v>367923</v>
      </c>
      <c r="G38" s="198"/>
      <c r="H38" s="198"/>
      <c r="I38" s="200"/>
      <c r="J38"/>
      <c r="K38"/>
      <c r="L38"/>
      <c r="M38" s="15" t="s">
        <v>3</v>
      </c>
      <c r="N38" s="16">
        <f>(100%-N37)</f>
        <v>0.33170754321490936</v>
      </c>
      <c r="O38"/>
      <c r="P38"/>
    </row>
    <row r="39" spans="1:16" x14ac:dyDescent="0.3">
      <c r="A39" s="194" t="s">
        <v>16</v>
      </c>
      <c r="B39" s="227">
        <v>45891</v>
      </c>
      <c r="C39" s="61" t="s">
        <v>8</v>
      </c>
      <c r="D39" s="22">
        <v>419835</v>
      </c>
      <c r="E39" s="2">
        <f>9000+102000+174600+140000</f>
        <v>425600</v>
      </c>
      <c r="F39" s="2">
        <f t="shared" si="1"/>
        <v>-5765</v>
      </c>
      <c r="G39" s="198">
        <f>D39+D40</f>
        <v>1049637</v>
      </c>
      <c r="H39" s="198">
        <f>E39+E40</f>
        <v>789799</v>
      </c>
      <c r="I39" s="200">
        <f>G39-H39</f>
        <v>259838</v>
      </c>
    </row>
    <row r="40" spans="1:16" ht="15" thickBot="1" x14ac:dyDescent="0.35">
      <c r="A40" s="222"/>
      <c r="B40" s="197"/>
      <c r="C40" s="62" t="s">
        <v>9</v>
      </c>
      <c r="D40" s="27">
        <v>629802</v>
      </c>
      <c r="E40" s="10">
        <f>81752+20000+262447</f>
        <v>364199</v>
      </c>
      <c r="F40" s="10">
        <f t="shared" si="1"/>
        <v>265603</v>
      </c>
      <c r="G40" s="223"/>
      <c r="H40" s="223"/>
      <c r="I40" s="225"/>
    </row>
    <row r="41" spans="1:16" x14ac:dyDescent="0.3">
      <c r="A41" s="317" t="s">
        <v>13</v>
      </c>
      <c r="B41" s="319">
        <v>45892</v>
      </c>
      <c r="C41" s="109" t="s">
        <v>8</v>
      </c>
      <c r="D41" s="110">
        <v>213727</v>
      </c>
      <c r="E41" s="111">
        <f>4500+15000</f>
        <v>19500</v>
      </c>
      <c r="F41" s="111">
        <f t="shared" si="1"/>
        <v>194227</v>
      </c>
      <c r="G41" s="321">
        <f>D41+D42</f>
        <v>541086</v>
      </c>
      <c r="H41" s="321">
        <f>E41+E42</f>
        <v>75500</v>
      </c>
      <c r="I41" s="323">
        <f>G41-H41</f>
        <v>465586</v>
      </c>
    </row>
    <row r="42" spans="1:16" ht="15" thickBot="1" x14ac:dyDescent="0.35">
      <c r="A42" s="318"/>
      <c r="B42" s="320"/>
      <c r="C42" s="112" t="s">
        <v>9</v>
      </c>
      <c r="D42" s="113">
        <v>327359</v>
      </c>
      <c r="E42" s="114">
        <f>30000+26000</f>
        <v>56000</v>
      </c>
      <c r="F42" s="114">
        <f t="shared" si="1"/>
        <v>271359</v>
      </c>
      <c r="G42" s="322"/>
      <c r="H42" s="322"/>
      <c r="I42" s="324"/>
    </row>
    <row r="43" spans="1:16" x14ac:dyDescent="0.3">
      <c r="A43" s="226" t="s">
        <v>17</v>
      </c>
      <c r="B43" s="227">
        <v>45894</v>
      </c>
      <c r="C43" s="76" t="s">
        <v>8</v>
      </c>
      <c r="D43" s="30">
        <v>111300</v>
      </c>
      <c r="E43" s="11">
        <f>38500</f>
        <v>38500</v>
      </c>
      <c r="F43" s="11">
        <f t="shared" si="1"/>
        <v>72800</v>
      </c>
      <c r="G43" s="224">
        <f>D43+D44</f>
        <v>463511</v>
      </c>
      <c r="H43" s="224">
        <f>E43+E44</f>
        <v>62500</v>
      </c>
      <c r="I43" s="228">
        <f>G43-H43</f>
        <v>401011</v>
      </c>
    </row>
    <row r="44" spans="1:16" ht="15" thickBot="1" x14ac:dyDescent="0.35">
      <c r="A44" s="222"/>
      <c r="B44" s="197"/>
      <c r="C44" s="62" t="s">
        <v>9</v>
      </c>
      <c r="D44" s="27">
        <v>352211</v>
      </c>
      <c r="E44" s="10">
        <f>9000+15000</f>
        <v>24000</v>
      </c>
      <c r="F44" s="10">
        <f t="shared" si="1"/>
        <v>328211</v>
      </c>
      <c r="G44" s="223"/>
      <c r="H44" s="223"/>
      <c r="I44" s="225"/>
    </row>
    <row r="45" spans="1:16" x14ac:dyDescent="0.3">
      <c r="A45" s="226" t="s">
        <v>18</v>
      </c>
      <c r="B45" s="227">
        <v>45895</v>
      </c>
      <c r="C45" s="76" t="s">
        <v>8</v>
      </c>
      <c r="D45" s="30">
        <v>267504</v>
      </c>
      <c r="E45" s="11">
        <f>9000+26500+47371+241093</f>
        <v>323964</v>
      </c>
      <c r="F45" s="11">
        <f>D45-E45</f>
        <v>-56460</v>
      </c>
      <c r="G45" s="224">
        <f>D45+D46</f>
        <v>831985</v>
      </c>
      <c r="H45" s="224">
        <f>E45+E46</f>
        <v>512664</v>
      </c>
      <c r="I45" s="228">
        <f>G45-H45</f>
        <v>319321</v>
      </c>
    </row>
    <row r="46" spans="1:16" ht="15" thickBot="1" x14ac:dyDescent="0.35">
      <c r="A46" s="222"/>
      <c r="B46" s="197"/>
      <c r="C46" s="62" t="s">
        <v>9</v>
      </c>
      <c r="D46" s="27">
        <v>564481</v>
      </c>
      <c r="E46" s="10">
        <f>17700+21000+150000</f>
        <v>188700</v>
      </c>
      <c r="F46" s="10">
        <f>D46-E46</f>
        <v>375781</v>
      </c>
      <c r="G46" s="223"/>
      <c r="H46" s="223"/>
      <c r="I46" s="225"/>
    </row>
    <row r="47" spans="1:16" x14ac:dyDescent="0.3">
      <c r="A47" s="226" t="s">
        <v>14</v>
      </c>
      <c r="B47" s="227">
        <v>45896</v>
      </c>
      <c r="C47" s="76" t="s">
        <v>8</v>
      </c>
      <c r="D47" s="30">
        <v>343874</v>
      </c>
      <c r="E47" s="11">
        <f>9000+60243+275792</f>
        <v>345035</v>
      </c>
      <c r="F47" s="11">
        <f>D47-E47</f>
        <v>-1161</v>
      </c>
      <c r="G47" s="224">
        <f>D47+D48</f>
        <v>792295</v>
      </c>
      <c r="H47" s="224">
        <f>E47+E48</f>
        <v>571251</v>
      </c>
      <c r="I47" s="228">
        <f>G47-H47</f>
        <v>221044</v>
      </c>
    </row>
    <row r="48" spans="1:16" ht="15" thickBot="1" x14ac:dyDescent="0.35">
      <c r="A48" s="222"/>
      <c r="B48" s="197"/>
      <c r="C48" s="62" t="s">
        <v>9</v>
      </c>
      <c r="D48" s="27">
        <v>448421</v>
      </c>
      <c r="E48" s="10">
        <f>23400+14700+55100+57500+73916+1600</f>
        <v>226216</v>
      </c>
      <c r="F48" s="10">
        <f>D48-E48</f>
        <v>222205</v>
      </c>
      <c r="G48" s="223"/>
      <c r="H48" s="223"/>
      <c r="I48" s="225"/>
    </row>
    <row r="49" spans="1:17" s="1" customFormat="1" x14ac:dyDescent="0.3">
      <c r="A49" s="194" t="s">
        <v>15</v>
      </c>
      <c r="B49" s="227">
        <v>45897</v>
      </c>
      <c r="C49" s="61" t="s">
        <v>8</v>
      </c>
      <c r="D49" s="22">
        <v>387123</v>
      </c>
      <c r="E49" s="2">
        <f>15000+15000+9000+26500+77090+60243+248000</f>
        <v>450833</v>
      </c>
      <c r="F49" s="2">
        <f t="shared" ref="F49:F54" si="2">D49-E49</f>
        <v>-63710</v>
      </c>
      <c r="G49" s="198">
        <f>D49+D50</f>
        <v>903013</v>
      </c>
      <c r="H49" s="198">
        <f>E49+E50</f>
        <v>1054540</v>
      </c>
      <c r="I49" s="200">
        <f>G49-H49</f>
        <v>-151527</v>
      </c>
      <c r="J49"/>
      <c r="K49"/>
      <c r="L49"/>
      <c r="M49"/>
      <c r="N49"/>
      <c r="O49"/>
      <c r="P49"/>
    </row>
    <row r="50" spans="1:17" s="1" customFormat="1" x14ac:dyDescent="0.3">
      <c r="A50" s="194"/>
      <c r="B50" s="197"/>
      <c r="C50" s="61" t="s">
        <v>9</v>
      </c>
      <c r="D50" s="22">
        <v>515890</v>
      </c>
      <c r="E50" s="2">
        <f>603707</f>
        <v>603707</v>
      </c>
      <c r="F50" s="2">
        <f t="shared" si="2"/>
        <v>-87817</v>
      </c>
      <c r="G50" s="198"/>
      <c r="H50" s="198"/>
      <c r="I50" s="200"/>
      <c r="J50"/>
      <c r="K50"/>
      <c r="L50"/>
      <c r="M50"/>
      <c r="N50"/>
      <c r="O50"/>
      <c r="P50"/>
    </row>
    <row r="51" spans="1:17" x14ac:dyDescent="0.3">
      <c r="A51" s="194" t="s">
        <v>16</v>
      </c>
      <c r="B51" s="227">
        <v>45898</v>
      </c>
      <c r="C51" s="61" t="s">
        <v>8</v>
      </c>
      <c r="D51" s="22">
        <v>548086</v>
      </c>
      <c r="E51" s="2">
        <f>9000+26500+139688+17700+5000+20000+20000</f>
        <v>237888</v>
      </c>
      <c r="F51" s="2">
        <f t="shared" si="2"/>
        <v>310198</v>
      </c>
      <c r="G51" s="198">
        <f>D51+D52</f>
        <v>1014281</v>
      </c>
      <c r="H51" s="198">
        <f>E51+E52</f>
        <v>473988</v>
      </c>
      <c r="I51" s="200">
        <f>G51-H51</f>
        <v>540293</v>
      </c>
    </row>
    <row r="52" spans="1:17" ht="15" thickBot="1" x14ac:dyDescent="0.35">
      <c r="A52" s="222"/>
      <c r="B52" s="197"/>
      <c r="C52" s="62" t="s">
        <v>9</v>
      </c>
      <c r="D52" s="27">
        <v>466195</v>
      </c>
      <c r="E52" s="10">
        <f>236100</f>
        <v>236100</v>
      </c>
      <c r="F52" s="10">
        <f t="shared" si="2"/>
        <v>230095</v>
      </c>
      <c r="G52" s="223"/>
      <c r="H52" s="223"/>
      <c r="I52" s="225"/>
    </row>
    <row r="53" spans="1:17" ht="15" thickBot="1" x14ac:dyDescent="0.35">
      <c r="A53" s="202" t="s">
        <v>13</v>
      </c>
      <c r="B53" s="264">
        <v>45899</v>
      </c>
      <c r="C53" s="77" t="s">
        <v>8</v>
      </c>
      <c r="D53" s="35">
        <v>216148</v>
      </c>
      <c r="E53" s="36">
        <v>4500</v>
      </c>
      <c r="F53" s="36">
        <f t="shared" si="2"/>
        <v>211648</v>
      </c>
      <c r="G53" s="206">
        <f>D53+D54</f>
        <v>638972</v>
      </c>
      <c r="H53" s="206">
        <f>E53+E54</f>
        <v>599647</v>
      </c>
      <c r="I53" s="208">
        <f>G53-H53</f>
        <v>39325</v>
      </c>
    </row>
    <row r="54" spans="1:17" ht="15" thickBot="1" x14ac:dyDescent="0.35">
      <c r="A54" s="203"/>
      <c r="B54" s="280"/>
      <c r="C54" s="78" t="s">
        <v>9</v>
      </c>
      <c r="D54" s="35">
        <v>422824</v>
      </c>
      <c r="E54" s="38">
        <f>595147</f>
        <v>595147</v>
      </c>
      <c r="F54" s="38">
        <f t="shared" si="2"/>
        <v>-172323</v>
      </c>
      <c r="G54" s="207"/>
      <c r="H54" s="207"/>
      <c r="I54" s="209"/>
    </row>
    <row r="55" spans="1:17" s="1" customFormat="1" ht="15" thickBot="1" x14ac:dyDescent="0.35">
      <c r="A55"/>
      <c r="B55" s="277" t="s">
        <v>10</v>
      </c>
      <c r="C55" s="278"/>
      <c r="D55" s="50">
        <f t="shared" ref="D55:I55" si="3">SUM(D3:D54)</f>
        <v>22131598</v>
      </c>
      <c r="E55" s="50">
        <f t="shared" si="3"/>
        <v>14790380</v>
      </c>
      <c r="F55" s="50">
        <f t="shared" si="3"/>
        <v>7341218</v>
      </c>
      <c r="G55" s="50">
        <f t="shared" si="3"/>
        <v>22131598</v>
      </c>
      <c r="H55" s="50">
        <f t="shared" si="3"/>
        <v>14790380</v>
      </c>
      <c r="I55" s="50">
        <f t="shared" si="3"/>
        <v>7341218</v>
      </c>
      <c r="J55"/>
      <c r="K55" s="39"/>
      <c r="L55"/>
      <c r="M55"/>
      <c r="N55"/>
      <c r="O55"/>
      <c r="P55"/>
    </row>
    <row r="56" spans="1:17" s="1" customFormat="1" x14ac:dyDescent="0.3">
      <c r="A56"/>
      <c r="J56"/>
      <c r="K56" s="39"/>
      <c r="L56"/>
      <c r="M56"/>
      <c r="N56"/>
      <c r="O56"/>
      <c r="P56"/>
    </row>
    <row r="57" spans="1:17" s="1" customFormat="1" x14ac:dyDescent="0.3">
      <c r="A57"/>
      <c r="J57"/>
      <c r="K57" s="39"/>
      <c r="L57"/>
      <c r="M57"/>
      <c r="N57"/>
      <c r="O57"/>
      <c r="P57"/>
    </row>
    <row r="58" spans="1:17" s="1" customFormat="1" x14ac:dyDescent="0.3">
      <c r="A58"/>
      <c r="J58"/>
      <c r="K58" s="39"/>
      <c r="L58"/>
      <c r="M58"/>
      <c r="N58"/>
      <c r="O58"/>
      <c r="P58"/>
    </row>
    <row r="59" spans="1:17" x14ac:dyDescent="0.3">
      <c r="K59" s="39"/>
    </row>
    <row r="60" spans="1:17" x14ac:dyDescent="0.3">
      <c r="D60" s="20" t="s">
        <v>21</v>
      </c>
      <c r="E60" s="2">
        <f>MAXA(D3:D54)</f>
        <v>720373</v>
      </c>
      <c r="F60" s="283">
        <v>45751</v>
      </c>
      <c r="G60" s="187"/>
      <c r="K60" s="39"/>
    </row>
    <row r="61" spans="1:17" x14ac:dyDescent="0.3">
      <c r="D61" s="21" t="s">
        <v>22</v>
      </c>
      <c r="E61" s="2">
        <f>IF(MINA(D3:D44)&lt;&gt;0, MINA(D3:D22))</f>
        <v>255751</v>
      </c>
      <c r="F61" s="283">
        <v>45749</v>
      </c>
      <c r="G61" s="187"/>
      <c r="K61" s="39"/>
    </row>
    <row r="62" spans="1:17" s="1" customFormat="1" x14ac:dyDescent="0.3">
      <c r="A62"/>
      <c r="C62" s="1" t="s">
        <v>20</v>
      </c>
      <c r="J62"/>
      <c r="K62"/>
      <c r="L62"/>
      <c r="M62"/>
      <c r="N62"/>
    </row>
    <row r="63" spans="1:17" x14ac:dyDescent="0.3">
      <c r="D63" s="192" t="s">
        <v>36</v>
      </c>
      <c r="E63" s="18">
        <f>AVERAGEA(G3:G6)</f>
        <v>754697.5</v>
      </c>
      <c r="F63" s="187" t="s">
        <v>23</v>
      </c>
      <c r="G63" s="187"/>
      <c r="I63" s="193" t="s">
        <v>37</v>
      </c>
      <c r="J63" s="18">
        <f>AVERAGEA(H3:H6)</f>
        <v>582172.5</v>
      </c>
      <c r="K63" s="187" t="s">
        <v>23</v>
      </c>
      <c r="L63" s="187"/>
      <c r="N63" s="188" t="s">
        <v>38</v>
      </c>
      <c r="O63" s="18">
        <f>AVERAGEA(I3:I6)</f>
        <v>172525</v>
      </c>
      <c r="P63" s="187" t="s">
        <v>23</v>
      </c>
      <c r="Q63" s="187"/>
    </row>
    <row r="64" spans="1:17" x14ac:dyDescent="0.3">
      <c r="D64" s="192"/>
      <c r="E64" s="18">
        <f>AVERAGEA(G7:G18)</f>
        <v>965109.16666666663</v>
      </c>
      <c r="F64" s="187" t="s">
        <v>24</v>
      </c>
      <c r="G64" s="187"/>
      <c r="I64" s="193"/>
      <c r="J64" s="18">
        <f>AVERAGEA(H7:H18)</f>
        <v>786876.16666666663</v>
      </c>
      <c r="K64" s="187" t="s">
        <v>24</v>
      </c>
      <c r="L64" s="187"/>
      <c r="N64" s="188"/>
      <c r="O64" s="18">
        <f>AVERAGEA(F7:F18)</f>
        <v>89116.5</v>
      </c>
      <c r="P64" s="187" t="s">
        <v>24</v>
      </c>
      <c r="Q64" s="187"/>
    </row>
    <row r="65" spans="1:17" x14ac:dyDescent="0.3">
      <c r="D65" s="192"/>
      <c r="E65" s="18">
        <f>AVERAGEA(G19:G30)</f>
        <v>789215</v>
      </c>
      <c r="F65" s="187" t="s">
        <v>25</v>
      </c>
      <c r="G65" s="187"/>
      <c r="I65" s="193"/>
      <c r="J65" s="18">
        <f>AVERAGEA(H19:H30)</f>
        <v>385071.83333333331</v>
      </c>
      <c r="K65" s="187" t="s">
        <v>25</v>
      </c>
      <c r="L65" s="187"/>
      <c r="N65" s="188"/>
      <c r="O65" s="18">
        <f>AVERAGEA(F19:F30)</f>
        <v>202071.58333333334</v>
      </c>
      <c r="P65" s="187" t="s">
        <v>25</v>
      </c>
      <c r="Q65" s="187"/>
    </row>
    <row r="66" spans="1:17" x14ac:dyDescent="0.3">
      <c r="D66" s="192"/>
      <c r="E66" s="18">
        <f>AVERAGEA(G31:G42)</f>
        <v>908700.16666666663</v>
      </c>
      <c r="F66" s="184" t="s">
        <v>26</v>
      </c>
      <c r="G66" s="185"/>
      <c r="I66" s="193"/>
      <c r="J66" s="18">
        <f>AVERAGEA(H31:H42)</f>
        <v>553292.83333333337</v>
      </c>
      <c r="K66" s="184" t="s">
        <v>26</v>
      </c>
      <c r="L66" s="185"/>
      <c r="N66" s="188"/>
      <c r="O66" s="18">
        <f>AVERAGEA(F31:F42)</f>
        <v>177703.66666666666</v>
      </c>
      <c r="P66" s="184" t="s">
        <v>26</v>
      </c>
      <c r="Q66" s="185"/>
    </row>
    <row r="67" spans="1:17" x14ac:dyDescent="0.3">
      <c r="D67" s="192"/>
      <c r="E67" s="18">
        <f>AVERAGEA(G43:G50)</f>
        <v>747701</v>
      </c>
      <c r="F67" s="184" t="s">
        <v>34</v>
      </c>
      <c r="G67" s="185"/>
      <c r="I67" s="193"/>
      <c r="J67" s="18">
        <f>AVERAGEA(H43:H50)</f>
        <v>550238.75</v>
      </c>
      <c r="K67" s="184" t="s">
        <v>34</v>
      </c>
      <c r="L67" s="185"/>
      <c r="N67" s="188"/>
      <c r="O67" s="18">
        <f>AVERAGEA(I43:I50)</f>
        <v>197462.25</v>
      </c>
      <c r="P67" s="184" t="s">
        <v>34</v>
      </c>
      <c r="Q67" s="185"/>
    </row>
    <row r="68" spans="1:17" x14ac:dyDescent="0.3">
      <c r="D68" s="192"/>
      <c r="E68" s="28">
        <f>AVERAGEA(E63:E66)</f>
        <v>854430.45833333326</v>
      </c>
      <c r="F68" s="186" t="s">
        <v>10</v>
      </c>
      <c r="G68" s="186"/>
      <c r="I68" s="193"/>
      <c r="J68" s="28">
        <f>AVERAGEA(J63:J66)</f>
        <v>576853.33333333326</v>
      </c>
      <c r="K68" s="186" t="s">
        <v>10</v>
      </c>
      <c r="L68" s="186"/>
      <c r="N68" s="189"/>
      <c r="O68" s="28">
        <f>AVERAGEA(O63:O66)</f>
        <v>160354.1875</v>
      </c>
      <c r="P68" s="186" t="s">
        <v>10</v>
      </c>
      <c r="Q68" s="186"/>
    </row>
    <row r="70" spans="1:17" x14ac:dyDescent="0.3">
      <c r="D70"/>
      <c r="E70"/>
      <c r="F70"/>
      <c r="G70"/>
      <c r="H70"/>
      <c r="I70"/>
    </row>
    <row r="71" spans="1:17" s="1" customFormat="1" x14ac:dyDescent="0.3">
      <c r="A71"/>
      <c r="D71"/>
      <c r="E71"/>
      <c r="F71"/>
      <c r="G71"/>
      <c r="H71"/>
      <c r="I71"/>
      <c r="J71"/>
      <c r="K71"/>
      <c r="L71"/>
      <c r="M71"/>
      <c r="N71"/>
    </row>
    <row r="72" spans="1:17" x14ac:dyDescent="0.3">
      <c r="D72"/>
      <c r="E72"/>
      <c r="F72"/>
      <c r="G72"/>
      <c r="H72"/>
      <c r="I72"/>
    </row>
    <row r="73" spans="1:17" ht="27" customHeight="1" x14ac:dyDescent="0.3">
      <c r="D73"/>
      <c r="E73"/>
      <c r="F73"/>
      <c r="G73"/>
      <c r="H73"/>
      <c r="I73"/>
    </row>
    <row r="74" spans="1:17" x14ac:dyDescent="0.3">
      <c r="D74"/>
      <c r="E74"/>
      <c r="F74"/>
      <c r="G74"/>
      <c r="H74"/>
      <c r="I74"/>
    </row>
    <row r="75" spans="1:17" x14ac:dyDescent="0.3">
      <c r="D75"/>
      <c r="E75"/>
      <c r="F75"/>
      <c r="G75"/>
      <c r="H75"/>
      <c r="I75"/>
    </row>
    <row r="76" spans="1:17" x14ac:dyDescent="0.3">
      <c r="D76"/>
      <c r="E76"/>
      <c r="F76"/>
      <c r="G76"/>
      <c r="H76"/>
      <c r="I76"/>
    </row>
    <row r="77" spans="1:17" x14ac:dyDescent="0.3">
      <c r="D77"/>
      <c r="E77"/>
      <c r="F77"/>
      <c r="G77"/>
      <c r="H77"/>
      <c r="I77"/>
    </row>
    <row r="78" spans="1:17" x14ac:dyDescent="0.3">
      <c r="D78"/>
      <c r="E78"/>
      <c r="F78"/>
      <c r="G78"/>
      <c r="H78"/>
      <c r="I78"/>
    </row>
    <row r="79" spans="1:17" x14ac:dyDescent="0.3">
      <c r="D79"/>
      <c r="E79"/>
      <c r="F79"/>
      <c r="G79"/>
      <c r="H79"/>
      <c r="I79"/>
    </row>
    <row r="80" spans="1:17" x14ac:dyDescent="0.3">
      <c r="D80"/>
      <c r="E80"/>
      <c r="F80"/>
      <c r="G80"/>
      <c r="H80"/>
      <c r="I80"/>
    </row>
  </sheetData>
  <autoFilter ref="B2:I32" xr:uid="{00000000-0009-0000-0000-000001000000}"/>
  <mergeCells count="161">
    <mergeCell ref="D63:D68"/>
    <mergeCell ref="G53:G54"/>
    <mergeCell ref="H53:H54"/>
    <mergeCell ref="I53:I54"/>
    <mergeCell ref="P66:Q66"/>
    <mergeCell ref="F67:G67"/>
    <mergeCell ref="K67:L67"/>
    <mergeCell ref="P67:Q67"/>
    <mergeCell ref="F60:G60"/>
    <mergeCell ref="F61:G61"/>
    <mergeCell ref="B55:C55"/>
    <mergeCell ref="A51:A52"/>
    <mergeCell ref="B51:B52"/>
    <mergeCell ref="G51:G52"/>
    <mergeCell ref="H51:H52"/>
    <mergeCell ref="F68:G68"/>
    <mergeCell ref="K68:L68"/>
    <mergeCell ref="P68:Q68"/>
    <mergeCell ref="N63:N68"/>
    <mergeCell ref="P63:Q63"/>
    <mergeCell ref="F64:G64"/>
    <mergeCell ref="K64:L64"/>
    <mergeCell ref="P64:Q64"/>
    <mergeCell ref="F65:G65"/>
    <mergeCell ref="K65:L65"/>
    <mergeCell ref="P65:Q65"/>
    <mergeCell ref="F66:G66"/>
    <mergeCell ref="K66:L66"/>
    <mergeCell ref="F63:G63"/>
    <mergeCell ref="I63:I68"/>
    <mergeCell ref="K63:L63"/>
    <mergeCell ref="I51:I52"/>
    <mergeCell ref="A53:A54"/>
    <mergeCell ref="B53:B54"/>
    <mergeCell ref="A47:A48"/>
    <mergeCell ref="B47:B48"/>
    <mergeCell ref="G47:G48"/>
    <mergeCell ref="H47:H48"/>
    <mergeCell ref="I47:I48"/>
    <mergeCell ref="A49:A50"/>
    <mergeCell ref="B49:B50"/>
    <mergeCell ref="G49:G50"/>
    <mergeCell ref="H49:H50"/>
    <mergeCell ref="I49:I50"/>
    <mergeCell ref="A43:A44"/>
    <mergeCell ref="B43:B44"/>
    <mergeCell ref="G43:G44"/>
    <mergeCell ref="H43:H44"/>
    <mergeCell ref="I43:I44"/>
    <mergeCell ref="A45:A46"/>
    <mergeCell ref="B45:B46"/>
    <mergeCell ref="G45:G46"/>
    <mergeCell ref="H45:H46"/>
    <mergeCell ref="I45:I46"/>
    <mergeCell ref="A39:A40"/>
    <mergeCell ref="B39:B40"/>
    <mergeCell ref="G39:G40"/>
    <mergeCell ref="H39:H40"/>
    <mergeCell ref="I39:I40"/>
    <mergeCell ref="A41:A42"/>
    <mergeCell ref="B41:B42"/>
    <mergeCell ref="G41:G42"/>
    <mergeCell ref="H41:H42"/>
    <mergeCell ref="I41:I42"/>
    <mergeCell ref="A35:A36"/>
    <mergeCell ref="B35:B36"/>
    <mergeCell ref="G35:G36"/>
    <mergeCell ref="H35:H36"/>
    <mergeCell ref="I35:I36"/>
    <mergeCell ref="A37:A38"/>
    <mergeCell ref="B37:B38"/>
    <mergeCell ref="G37:G38"/>
    <mergeCell ref="H37:H38"/>
    <mergeCell ref="I37:I38"/>
    <mergeCell ref="A31:A32"/>
    <mergeCell ref="B31:B32"/>
    <mergeCell ref="G31:G32"/>
    <mergeCell ref="H31:H32"/>
    <mergeCell ref="I31:I32"/>
    <mergeCell ref="A33:A34"/>
    <mergeCell ref="B33:B34"/>
    <mergeCell ref="G33:G34"/>
    <mergeCell ref="H33:H34"/>
    <mergeCell ref="I33:I34"/>
    <mergeCell ref="A27:A28"/>
    <mergeCell ref="B27:B28"/>
    <mergeCell ref="G27:G28"/>
    <mergeCell ref="H27:H28"/>
    <mergeCell ref="I27:I28"/>
    <mergeCell ref="A29:A30"/>
    <mergeCell ref="B29:B30"/>
    <mergeCell ref="G29:G30"/>
    <mergeCell ref="H29:H30"/>
    <mergeCell ref="I29:I30"/>
    <mergeCell ref="A23:A24"/>
    <mergeCell ref="B23:B24"/>
    <mergeCell ref="G23:G24"/>
    <mergeCell ref="H23:H24"/>
    <mergeCell ref="I23:I24"/>
    <mergeCell ref="A25:A26"/>
    <mergeCell ref="B25:B26"/>
    <mergeCell ref="G25:G26"/>
    <mergeCell ref="H25:H26"/>
    <mergeCell ref="I25:I26"/>
    <mergeCell ref="A19:A20"/>
    <mergeCell ref="B19:B20"/>
    <mergeCell ref="G19:G20"/>
    <mergeCell ref="H19:H20"/>
    <mergeCell ref="I19:I20"/>
    <mergeCell ref="A21:A22"/>
    <mergeCell ref="B21:B22"/>
    <mergeCell ref="G21:G22"/>
    <mergeCell ref="H21:H22"/>
    <mergeCell ref="I21:I22"/>
    <mergeCell ref="G13:G14"/>
    <mergeCell ref="H13:H14"/>
    <mergeCell ref="I13:I14"/>
    <mergeCell ref="A15:A16"/>
    <mergeCell ref="B15:B16"/>
    <mergeCell ref="G15:G16"/>
    <mergeCell ref="H15:H16"/>
    <mergeCell ref="I15:I16"/>
    <mergeCell ref="A17:A18"/>
    <mergeCell ref="B17:B18"/>
    <mergeCell ref="G17:G18"/>
    <mergeCell ref="H17:H18"/>
    <mergeCell ref="I17:I18"/>
    <mergeCell ref="A5:A6"/>
    <mergeCell ref="B5:B6"/>
    <mergeCell ref="G5:G6"/>
    <mergeCell ref="H5:H6"/>
    <mergeCell ref="I5:I6"/>
    <mergeCell ref="J13:J14"/>
    <mergeCell ref="A11:A12"/>
    <mergeCell ref="B11:B12"/>
    <mergeCell ref="G11:G12"/>
    <mergeCell ref="H11:H12"/>
    <mergeCell ref="I11:I12"/>
    <mergeCell ref="J11:J12"/>
    <mergeCell ref="A7:A8"/>
    <mergeCell ref="B7:B8"/>
    <mergeCell ref="G7:G8"/>
    <mergeCell ref="H7:H8"/>
    <mergeCell ref="I7:I8"/>
    <mergeCell ref="A9:A10"/>
    <mergeCell ref="B9:B10"/>
    <mergeCell ref="G9:G10"/>
    <mergeCell ref="H9:H10"/>
    <mergeCell ref="I9:I10"/>
    <mergeCell ref="A13:A14"/>
    <mergeCell ref="B13:B14"/>
    <mergeCell ref="A1:A2"/>
    <mergeCell ref="B1:B2"/>
    <mergeCell ref="C1:C2"/>
    <mergeCell ref="D1:F1"/>
    <mergeCell ref="G1:I1"/>
    <mergeCell ref="A3:A4"/>
    <mergeCell ref="B3:B4"/>
    <mergeCell ref="G3:G4"/>
    <mergeCell ref="H3:H4"/>
    <mergeCell ref="I3:I4"/>
  </mergeCells>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8FC85-16AB-4FD1-8E62-C7BCF0F3708B}">
  <sheetPr>
    <tabColor theme="2" tint="-9.9978637043366805E-2"/>
  </sheetPr>
  <dimension ref="A1:T80"/>
  <sheetViews>
    <sheetView showGridLines="0" zoomScale="85" zoomScaleNormal="85" workbookViewId="0">
      <pane xSplit="3" ySplit="2" topLeftCell="D37" activePane="bottomRight" state="frozen"/>
      <selection activeCell="S39" sqref="S39"/>
      <selection pane="topRight" activeCell="S39" sqref="S39"/>
      <selection pane="bottomLeft" activeCell="S39" sqref="S39"/>
      <selection pane="bottomRight" activeCell="S39" sqref="S39"/>
    </sheetView>
  </sheetViews>
  <sheetFormatPr baseColWidth="10" defaultRowHeight="14.4" x14ac:dyDescent="0.3"/>
  <cols>
    <col min="1" max="1" width="8.88671875" customWidth="1"/>
    <col min="2" max="2" width="12.44140625" style="1" customWidth="1"/>
    <col min="3" max="3" width="8.88671875" style="1" customWidth="1"/>
    <col min="4" max="4" width="13.33203125" style="1" customWidth="1"/>
    <col min="5" max="5" width="13.5546875" style="1" customWidth="1"/>
    <col min="6" max="6" width="11.33203125" style="1" customWidth="1"/>
    <col min="7" max="7" width="13.88671875" style="1" customWidth="1"/>
    <col min="8" max="8" width="13.44140625" style="1" customWidth="1"/>
    <col min="9" max="9" width="11.88671875" style="1" customWidth="1"/>
    <col min="10" max="10" width="12" bestFit="1" customWidth="1"/>
    <col min="11" max="11" width="12.33203125" bestFit="1" customWidth="1"/>
  </cols>
  <sheetData>
    <row r="1" spans="1:16" x14ac:dyDescent="0.3">
      <c r="A1" s="241" t="s">
        <v>12</v>
      </c>
      <c r="B1" s="241" t="s">
        <v>0</v>
      </c>
      <c r="C1" s="241" t="s">
        <v>1</v>
      </c>
      <c r="D1" s="243" t="s">
        <v>7</v>
      </c>
      <c r="E1" s="244"/>
      <c r="F1" s="244"/>
      <c r="G1" s="245" t="s">
        <v>10</v>
      </c>
      <c r="H1" s="246"/>
      <c r="I1" s="247"/>
    </row>
    <row r="2" spans="1:16" ht="15" thickBot="1" x14ac:dyDescent="0.35">
      <c r="A2" s="242"/>
      <c r="B2" s="242"/>
      <c r="C2" s="242"/>
      <c r="D2" s="4" t="s">
        <v>4</v>
      </c>
      <c r="E2" s="5" t="s">
        <v>5</v>
      </c>
      <c r="F2" s="7" t="s">
        <v>6</v>
      </c>
      <c r="G2" s="8" t="s">
        <v>2</v>
      </c>
      <c r="H2" s="5" t="s">
        <v>11</v>
      </c>
      <c r="I2" s="9" t="s">
        <v>3</v>
      </c>
    </row>
    <row r="3" spans="1:16" s="1" customFormat="1" ht="14.25" customHeight="1" x14ac:dyDescent="0.3">
      <c r="A3" s="219" t="s">
        <v>17</v>
      </c>
      <c r="B3" s="196">
        <v>45901</v>
      </c>
      <c r="C3" s="60" t="s">
        <v>8</v>
      </c>
      <c r="D3" s="23">
        <v>334993</v>
      </c>
      <c r="E3" s="3">
        <f>18000+135100+60243+60000</f>
        <v>273343</v>
      </c>
      <c r="F3" s="3">
        <f t="shared" ref="F3:F28" si="0">D3-E3</f>
        <v>61650</v>
      </c>
      <c r="G3" s="220">
        <f>D3+D4</f>
        <v>1001766</v>
      </c>
      <c r="H3" s="220">
        <f>E3+E4</f>
        <v>646251</v>
      </c>
      <c r="I3" s="221">
        <f>G3-H3</f>
        <v>355515</v>
      </c>
      <c r="J3"/>
      <c r="K3"/>
      <c r="L3"/>
      <c r="M3"/>
      <c r="N3"/>
    </row>
    <row r="4" spans="1:16" s="1" customFormat="1" ht="15" thickBot="1" x14ac:dyDescent="0.35">
      <c r="A4" s="194"/>
      <c r="B4" s="197"/>
      <c r="C4" s="61" t="s">
        <v>9</v>
      </c>
      <c r="D4" s="22">
        <v>666773</v>
      </c>
      <c r="E4" s="2">
        <f>277508+50000+45400</f>
        <v>372908</v>
      </c>
      <c r="F4" s="2">
        <f t="shared" si="0"/>
        <v>293865</v>
      </c>
      <c r="G4" s="198"/>
      <c r="H4" s="198"/>
      <c r="I4" s="200"/>
      <c r="J4"/>
      <c r="K4"/>
      <c r="L4"/>
      <c r="M4"/>
      <c r="N4"/>
    </row>
    <row r="5" spans="1:16" s="1" customFormat="1" x14ac:dyDescent="0.3">
      <c r="A5" s="194" t="s">
        <v>18</v>
      </c>
      <c r="B5" s="196">
        <v>45902</v>
      </c>
      <c r="C5" s="61" t="s">
        <v>8</v>
      </c>
      <c r="D5" s="22">
        <v>288847</v>
      </c>
      <c r="E5" s="2">
        <f>9000+195361+19400</f>
        <v>223761</v>
      </c>
      <c r="F5" s="2">
        <f t="shared" si="0"/>
        <v>65086</v>
      </c>
      <c r="G5" s="198">
        <f>D5+D6</f>
        <v>827559</v>
      </c>
      <c r="H5" s="198">
        <f>E5+E6</f>
        <v>535261</v>
      </c>
      <c r="I5" s="200">
        <f>G5-H5</f>
        <v>292298</v>
      </c>
      <c r="K5"/>
      <c r="L5"/>
      <c r="M5"/>
      <c r="N5"/>
    </row>
    <row r="6" spans="1:16" s="1" customFormat="1" ht="15" thickBot="1" x14ac:dyDescent="0.35">
      <c r="A6" s="194"/>
      <c r="B6" s="197"/>
      <c r="C6" s="61" t="s">
        <v>9</v>
      </c>
      <c r="D6" s="22">
        <v>538712</v>
      </c>
      <c r="E6" s="2">
        <f>140000+45000+40000+60000+26500</f>
        <v>311500</v>
      </c>
      <c r="F6" s="2">
        <f t="shared" si="0"/>
        <v>227212</v>
      </c>
      <c r="G6" s="198"/>
      <c r="H6" s="198"/>
      <c r="I6" s="200"/>
      <c r="K6"/>
      <c r="L6"/>
    </row>
    <row r="7" spans="1:16" s="1" customFormat="1" ht="14.25" customHeight="1" x14ac:dyDescent="0.3">
      <c r="A7" s="194" t="s">
        <v>19</v>
      </c>
      <c r="B7" s="196">
        <v>45903</v>
      </c>
      <c r="C7" s="67" t="s">
        <v>8</v>
      </c>
      <c r="D7" s="68">
        <v>476105</v>
      </c>
      <c r="E7" s="69">
        <f>9000+16200+72051</f>
        <v>97251</v>
      </c>
      <c r="F7" s="69">
        <f t="shared" si="0"/>
        <v>378854</v>
      </c>
      <c r="G7" s="236">
        <f>D7+D8</f>
        <v>1007785</v>
      </c>
      <c r="H7" s="236">
        <f>E7+E8</f>
        <v>228916</v>
      </c>
      <c r="I7" s="238">
        <f>G7-H7</f>
        <v>778869</v>
      </c>
      <c r="J7" s="210"/>
      <c r="K7"/>
      <c r="L7"/>
    </row>
    <row r="8" spans="1:16" s="1" customFormat="1" ht="15" thickBot="1" x14ac:dyDescent="0.35">
      <c r="A8" s="194"/>
      <c r="B8" s="197"/>
      <c r="C8" s="67" t="s">
        <v>9</v>
      </c>
      <c r="D8" s="68">
        <v>531680</v>
      </c>
      <c r="E8" s="69">
        <f>28500+88165+15000</f>
        <v>131665</v>
      </c>
      <c r="F8" s="69">
        <f t="shared" si="0"/>
        <v>400015</v>
      </c>
      <c r="G8" s="236"/>
      <c r="H8" s="236"/>
      <c r="I8" s="238"/>
      <c r="J8" s="210"/>
      <c r="K8"/>
      <c r="L8"/>
    </row>
    <row r="9" spans="1:16" s="1" customFormat="1" x14ac:dyDescent="0.3">
      <c r="A9" s="194" t="s">
        <v>15</v>
      </c>
      <c r="B9" s="196">
        <v>45904</v>
      </c>
      <c r="C9" s="104" t="s">
        <v>8</v>
      </c>
      <c r="D9" s="2">
        <v>408104</v>
      </c>
      <c r="E9" s="2">
        <f>9000+510140</f>
        <v>519140</v>
      </c>
      <c r="F9" s="2">
        <f t="shared" si="0"/>
        <v>-111036</v>
      </c>
      <c r="G9" s="198">
        <f>D9+D10</f>
        <v>1085132</v>
      </c>
      <c r="H9" s="198">
        <f>E9+E10</f>
        <v>673253</v>
      </c>
      <c r="I9" s="200">
        <f>G9-H9</f>
        <v>411879</v>
      </c>
      <c r="K9"/>
      <c r="L9"/>
      <c r="M9"/>
      <c r="N9"/>
    </row>
    <row r="10" spans="1:16" s="1" customFormat="1" ht="15" thickBot="1" x14ac:dyDescent="0.35">
      <c r="A10" s="194"/>
      <c r="B10" s="197"/>
      <c r="C10" s="104" t="s">
        <v>9</v>
      </c>
      <c r="D10" s="2">
        <v>677028</v>
      </c>
      <c r="E10" s="2">
        <f>60243+42370+51500</f>
        <v>154113</v>
      </c>
      <c r="F10" s="2">
        <f t="shared" si="0"/>
        <v>522915</v>
      </c>
      <c r="G10" s="198"/>
      <c r="H10" s="198"/>
      <c r="I10" s="200"/>
      <c r="K10"/>
      <c r="L10"/>
      <c r="M10"/>
      <c r="N10"/>
    </row>
    <row r="11" spans="1:16" x14ac:dyDescent="0.3">
      <c r="A11" s="194" t="s">
        <v>16</v>
      </c>
      <c r="B11" s="196">
        <v>45905</v>
      </c>
      <c r="C11" s="104" t="s">
        <v>8</v>
      </c>
      <c r="D11" s="2">
        <v>486222</v>
      </c>
      <c r="E11" s="2">
        <f>9000+55000+14700+264900</f>
        <v>343600</v>
      </c>
      <c r="F11" s="2">
        <f t="shared" si="0"/>
        <v>142622</v>
      </c>
      <c r="G11" s="198">
        <f>D11+D12</f>
        <v>1041548</v>
      </c>
      <c r="H11" s="198">
        <f>E11+E12</f>
        <v>411205</v>
      </c>
      <c r="I11" s="200">
        <f>G11-H11</f>
        <v>630343</v>
      </c>
    </row>
    <row r="12" spans="1:16" ht="15" thickBot="1" x14ac:dyDescent="0.35">
      <c r="A12" s="195"/>
      <c r="B12" s="197"/>
      <c r="C12" s="105" t="s">
        <v>9</v>
      </c>
      <c r="D12" s="6">
        <v>555326</v>
      </c>
      <c r="E12" s="6">
        <f>27605+10000+30000</f>
        <v>67605</v>
      </c>
      <c r="F12" s="6">
        <f t="shared" si="0"/>
        <v>487721</v>
      </c>
      <c r="G12" s="199"/>
      <c r="H12" s="199"/>
      <c r="I12" s="201"/>
    </row>
    <row r="13" spans="1:16" x14ac:dyDescent="0.3">
      <c r="A13" s="317" t="s">
        <v>13</v>
      </c>
      <c r="B13" s="335">
        <v>45906</v>
      </c>
      <c r="C13" s="131" t="s">
        <v>8</v>
      </c>
      <c r="D13" s="111">
        <v>235071</v>
      </c>
      <c r="E13" s="111">
        <f>9000+35000+4026+18103+19500+137000+37124</f>
        <v>259753</v>
      </c>
      <c r="F13" s="111">
        <f t="shared" si="0"/>
        <v>-24682</v>
      </c>
      <c r="G13" s="321">
        <f>D13+D14</f>
        <v>665708</v>
      </c>
      <c r="H13" s="321">
        <f>E13+E14</f>
        <v>394753</v>
      </c>
      <c r="I13" s="323">
        <f>G13-H13</f>
        <v>270955</v>
      </c>
    </row>
    <row r="14" spans="1:16" ht="15" thickBot="1" x14ac:dyDescent="0.35">
      <c r="A14" s="318"/>
      <c r="B14" s="345"/>
      <c r="C14" s="132" t="s">
        <v>35</v>
      </c>
      <c r="D14" s="114">
        <v>430637</v>
      </c>
      <c r="E14" s="114">
        <v>135000</v>
      </c>
      <c r="F14" s="114">
        <f t="shared" si="0"/>
        <v>295637</v>
      </c>
      <c r="G14" s="322"/>
      <c r="H14" s="322"/>
      <c r="I14" s="324"/>
    </row>
    <row r="15" spans="1:16" s="1" customFormat="1" x14ac:dyDescent="0.3">
      <c r="A15" s="219" t="s">
        <v>17</v>
      </c>
      <c r="B15" s="196">
        <v>45908</v>
      </c>
      <c r="C15" s="60" t="s">
        <v>8</v>
      </c>
      <c r="D15" s="23">
        <v>419379</v>
      </c>
      <c r="E15" s="3">
        <f>51400+80280+40000+20000</f>
        <v>191680</v>
      </c>
      <c r="F15" s="3">
        <f>D15-E15</f>
        <v>227699</v>
      </c>
      <c r="G15" s="220">
        <f>D15+D16</f>
        <v>1028148</v>
      </c>
      <c r="H15" s="220">
        <f>E15+E16</f>
        <v>529960</v>
      </c>
      <c r="I15" s="221">
        <f>G15-H15</f>
        <v>498188</v>
      </c>
      <c r="J15"/>
      <c r="K15"/>
      <c r="L15"/>
      <c r="M15"/>
      <c r="N15"/>
      <c r="O15"/>
      <c r="P15"/>
    </row>
    <row r="16" spans="1:16" s="1" customFormat="1" ht="15" thickBot="1" x14ac:dyDescent="0.35">
      <c r="A16" s="194"/>
      <c r="B16" s="197"/>
      <c r="C16" s="61" t="s">
        <v>9</v>
      </c>
      <c r="D16" s="22">
        <v>608769</v>
      </c>
      <c r="E16" s="2">
        <v>338280</v>
      </c>
      <c r="F16" s="2">
        <f>D16-E16</f>
        <v>270489</v>
      </c>
      <c r="G16" s="198"/>
      <c r="H16" s="198"/>
      <c r="I16" s="200"/>
      <c r="J16"/>
      <c r="K16"/>
      <c r="L16"/>
      <c r="M16"/>
      <c r="N16"/>
      <c r="O16"/>
      <c r="P16"/>
    </row>
    <row r="17" spans="1:20" s="1" customFormat="1" x14ac:dyDescent="0.3">
      <c r="A17" s="219" t="s">
        <v>18</v>
      </c>
      <c r="B17" s="196">
        <v>45909</v>
      </c>
      <c r="C17" s="60" t="s">
        <v>8</v>
      </c>
      <c r="D17" s="23">
        <v>324998</v>
      </c>
      <c r="E17" s="3">
        <f>9000+17700+353524+18000+57244+15000+15400+60243</f>
        <v>546111</v>
      </c>
      <c r="F17" s="3">
        <f t="shared" si="0"/>
        <v>-221113</v>
      </c>
      <c r="G17" s="220">
        <f>D17+D18</f>
        <v>862340</v>
      </c>
      <c r="H17" s="220">
        <f>E17+E18</f>
        <v>1176111</v>
      </c>
      <c r="I17" s="221">
        <f>G17-H17</f>
        <v>-313771</v>
      </c>
      <c r="J17" s="248" t="s">
        <v>42</v>
      </c>
      <c r="K17"/>
      <c r="L17"/>
      <c r="M17"/>
      <c r="N17"/>
      <c r="O17"/>
      <c r="P17"/>
    </row>
    <row r="18" spans="1:20" s="1" customFormat="1" ht="15" thickBot="1" x14ac:dyDescent="0.35">
      <c r="A18" s="194"/>
      <c r="B18" s="197"/>
      <c r="C18" s="61" t="s">
        <v>9</v>
      </c>
      <c r="D18" s="22">
        <v>537342</v>
      </c>
      <c r="E18" s="2">
        <v>630000</v>
      </c>
      <c r="F18" s="2">
        <f t="shared" si="0"/>
        <v>-92658</v>
      </c>
      <c r="G18" s="198"/>
      <c r="H18" s="198"/>
      <c r="I18" s="200"/>
      <c r="J18" s="249"/>
      <c r="K18"/>
      <c r="L18"/>
      <c r="M18"/>
      <c r="N18"/>
      <c r="O18"/>
      <c r="P18"/>
    </row>
    <row r="19" spans="1:20" s="1" customFormat="1" ht="14.25" customHeight="1" x14ac:dyDescent="0.3">
      <c r="A19" s="219" t="s">
        <v>19</v>
      </c>
      <c r="B19" s="196">
        <v>45910</v>
      </c>
      <c r="C19" s="60" t="s">
        <v>8</v>
      </c>
      <c r="D19" s="23">
        <v>489959</v>
      </c>
      <c r="E19" s="3">
        <f>9000+240977+24000</f>
        <v>273977</v>
      </c>
      <c r="F19" s="3">
        <f t="shared" si="0"/>
        <v>215982</v>
      </c>
      <c r="G19" s="220">
        <f>D19+D20</f>
        <v>925979</v>
      </c>
      <c r="H19" s="220">
        <f>E19+E20</f>
        <v>711397</v>
      </c>
      <c r="I19" s="221">
        <f>G19-H19</f>
        <v>214582</v>
      </c>
      <c r="J19"/>
      <c r="K19"/>
      <c r="L19"/>
      <c r="O19"/>
      <c r="P19"/>
    </row>
    <row r="20" spans="1:20" s="1" customFormat="1" ht="15" thickBot="1" x14ac:dyDescent="0.35">
      <c r="A20" s="194"/>
      <c r="B20" s="197"/>
      <c r="C20" s="61" t="s">
        <v>9</v>
      </c>
      <c r="D20" s="22">
        <v>436020</v>
      </c>
      <c r="E20" s="2">
        <f>25000+147920+74500+160000+30000</f>
        <v>437420</v>
      </c>
      <c r="F20" s="2">
        <f t="shared" si="0"/>
        <v>-1400</v>
      </c>
      <c r="G20" s="198"/>
      <c r="H20" s="198"/>
      <c r="I20" s="200"/>
      <c r="J20"/>
      <c r="K20"/>
      <c r="L20"/>
      <c r="O20"/>
      <c r="P20"/>
    </row>
    <row r="21" spans="1:20" s="1" customFormat="1" x14ac:dyDescent="0.3">
      <c r="A21" s="219" t="s">
        <v>15</v>
      </c>
      <c r="B21" s="196">
        <v>45911</v>
      </c>
      <c r="C21" s="60" t="s">
        <v>8</v>
      </c>
      <c r="D21" s="23">
        <v>273492</v>
      </c>
      <c r="E21" s="3">
        <v>400643</v>
      </c>
      <c r="F21" s="3">
        <f>D21-E21</f>
        <v>-127151</v>
      </c>
      <c r="G21" s="220">
        <f>D21+D22</f>
        <v>725469</v>
      </c>
      <c r="H21" s="220">
        <f>E21+E22</f>
        <v>775753</v>
      </c>
      <c r="I21" s="221">
        <f>G21-H21</f>
        <v>-50284</v>
      </c>
      <c r="J21"/>
      <c r="K21"/>
      <c r="L21"/>
      <c r="O21"/>
      <c r="P21"/>
    </row>
    <row r="22" spans="1:20" s="1" customFormat="1" ht="15" thickBot="1" x14ac:dyDescent="0.35">
      <c r="A22" s="194"/>
      <c r="B22" s="197"/>
      <c r="C22" s="61" t="s">
        <v>9</v>
      </c>
      <c r="D22" s="22">
        <v>451977</v>
      </c>
      <c r="E22" s="2">
        <v>375110</v>
      </c>
      <c r="F22" s="2">
        <f>D22-E22</f>
        <v>76867</v>
      </c>
      <c r="G22" s="198"/>
      <c r="H22" s="198"/>
      <c r="I22" s="200"/>
      <c r="J22"/>
      <c r="K22"/>
      <c r="L22"/>
      <c r="M22"/>
      <c r="N22"/>
      <c r="O22"/>
      <c r="P22"/>
    </row>
    <row r="23" spans="1:20" x14ac:dyDescent="0.3">
      <c r="A23" s="219" t="s">
        <v>16</v>
      </c>
      <c r="B23" s="196">
        <v>45912</v>
      </c>
      <c r="C23" s="60" t="s">
        <v>8</v>
      </c>
      <c r="D23" s="23">
        <v>348287</v>
      </c>
      <c r="E23" s="3">
        <f>9000+51400+39204+27651+98500</f>
        <v>225755</v>
      </c>
      <c r="F23" s="3">
        <f>D23-E23</f>
        <v>122532</v>
      </c>
      <c r="G23" s="220">
        <f>D23+D24</f>
        <v>780317</v>
      </c>
      <c r="H23" s="220">
        <f>E23+E24</f>
        <v>451655</v>
      </c>
      <c r="I23" s="221">
        <f>G23-H23</f>
        <v>328662</v>
      </c>
    </row>
    <row r="24" spans="1:20" ht="15" thickBot="1" x14ac:dyDescent="0.35">
      <c r="A24" s="194"/>
      <c r="B24" s="197"/>
      <c r="C24" s="61" t="s">
        <v>9</v>
      </c>
      <c r="D24" s="22">
        <v>432030</v>
      </c>
      <c r="E24" s="2">
        <f>225900</f>
        <v>225900</v>
      </c>
      <c r="F24" s="2">
        <f>D24-E24</f>
        <v>206130</v>
      </c>
      <c r="G24" s="198"/>
      <c r="H24" s="198"/>
      <c r="I24" s="200"/>
    </row>
    <row r="25" spans="1:20" x14ac:dyDescent="0.3">
      <c r="A25" s="202" t="s">
        <v>13</v>
      </c>
      <c r="B25" s="204">
        <v>45913</v>
      </c>
      <c r="C25" s="77" t="s">
        <v>8</v>
      </c>
      <c r="D25" s="35">
        <v>301847</v>
      </c>
      <c r="E25" s="36">
        <f>4500+22000</f>
        <v>26500</v>
      </c>
      <c r="F25" s="36">
        <f t="shared" si="0"/>
        <v>275347</v>
      </c>
      <c r="G25" s="206">
        <f>D25+D26</f>
        <v>624813</v>
      </c>
      <c r="H25" s="206">
        <f>E25+E26</f>
        <v>407688</v>
      </c>
      <c r="I25" s="208">
        <f>G25-H25</f>
        <v>217125</v>
      </c>
    </row>
    <row r="26" spans="1:20" ht="15" thickBot="1" x14ac:dyDescent="0.35">
      <c r="A26" s="203"/>
      <c r="B26" s="280"/>
      <c r="C26" s="78" t="s">
        <v>9</v>
      </c>
      <c r="D26" s="37">
        <v>322966</v>
      </c>
      <c r="E26" s="38">
        <f>381188</f>
        <v>381188</v>
      </c>
      <c r="F26" s="38">
        <f t="shared" si="0"/>
        <v>-58222</v>
      </c>
      <c r="G26" s="207"/>
      <c r="H26" s="207"/>
      <c r="I26" s="209"/>
    </row>
    <row r="27" spans="1:20" x14ac:dyDescent="0.3">
      <c r="A27" s="226" t="s">
        <v>17</v>
      </c>
      <c r="B27" s="227">
        <v>45915</v>
      </c>
      <c r="C27" s="76" t="s">
        <v>8</v>
      </c>
      <c r="D27" s="30">
        <v>243252</v>
      </c>
      <c r="E27" s="11">
        <f>9000+12600+281632+20000</f>
        <v>323232</v>
      </c>
      <c r="F27" s="11">
        <f t="shared" si="0"/>
        <v>-79980</v>
      </c>
      <c r="G27" s="224">
        <f>D27+D28</f>
        <v>703730</v>
      </c>
      <c r="H27" s="224">
        <f>E27+E28</f>
        <v>694732</v>
      </c>
      <c r="I27" s="228">
        <f>G27-H27</f>
        <v>8998</v>
      </c>
    </row>
    <row r="28" spans="1:20" ht="15" thickBot="1" x14ac:dyDescent="0.35">
      <c r="A28" s="222"/>
      <c r="B28" s="197"/>
      <c r="C28" s="62" t="s">
        <v>9</v>
      </c>
      <c r="D28" s="27">
        <v>460478</v>
      </c>
      <c r="E28" s="10">
        <f>330000+41500</f>
        <v>371500</v>
      </c>
      <c r="F28" s="10">
        <f t="shared" si="0"/>
        <v>88978</v>
      </c>
      <c r="G28" s="223"/>
      <c r="H28" s="223"/>
      <c r="I28" s="225"/>
      <c r="S28" s="85"/>
      <c r="T28" t="s">
        <v>52</v>
      </c>
    </row>
    <row r="29" spans="1:20" x14ac:dyDescent="0.3">
      <c r="A29" s="226" t="s">
        <v>18</v>
      </c>
      <c r="B29" s="227">
        <v>45916</v>
      </c>
      <c r="C29" s="76" t="s">
        <v>8</v>
      </c>
      <c r="D29" s="30">
        <v>300622</v>
      </c>
      <c r="E29" s="11">
        <f>9000+13000+19000+68498+60000+27000+8000</f>
        <v>204498</v>
      </c>
      <c r="F29" s="11">
        <f>D29-E29</f>
        <v>96124</v>
      </c>
      <c r="G29" s="224">
        <f>D29+D30</f>
        <v>833144</v>
      </c>
      <c r="H29" s="224">
        <f>E29+E30</f>
        <v>550854</v>
      </c>
      <c r="I29" s="228">
        <f>G29-H29</f>
        <v>282290</v>
      </c>
      <c r="S29" s="43"/>
      <c r="T29" t="s">
        <v>41</v>
      </c>
    </row>
    <row r="30" spans="1:20" ht="15" thickBot="1" x14ac:dyDescent="0.35">
      <c r="A30" s="222"/>
      <c r="B30" s="197"/>
      <c r="C30" s="62" t="s">
        <v>9</v>
      </c>
      <c r="D30" s="27">
        <v>532522</v>
      </c>
      <c r="E30" s="10">
        <f>256356+90000</f>
        <v>346356</v>
      </c>
      <c r="F30" s="10">
        <f>D30-E30</f>
        <v>186166</v>
      </c>
      <c r="G30" s="223"/>
      <c r="H30" s="223"/>
      <c r="I30" s="225"/>
    </row>
    <row r="31" spans="1:20" x14ac:dyDescent="0.3">
      <c r="A31" s="226" t="s">
        <v>14</v>
      </c>
      <c r="B31" s="227">
        <v>45917</v>
      </c>
      <c r="C31" s="76" t="s">
        <v>8</v>
      </c>
      <c r="D31" s="30">
        <v>375392</v>
      </c>
      <c r="E31" s="11">
        <f>9000+9600+59240</f>
        <v>77840</v>
      </c>
      <c r="F31" s="11">
        <f>D31-E31</f>
        <v>297552</v>
      </c>
      <c r="G31" s="224">
        <f>D31+D32</f>
        <v>786494</v>
      </c>
      <c r="H31" s="224">
        <f>E31+E32</f>
        <v>331080</v>
      </c>
      <c r="I31" s="228">
        <f>G31-H31</f>
        <v>455414</v>
      </c>
    </row>
    <row r="32" spans="1:20" ht="15" thickBot="1" x14ac:dyDescent="0.35">
      <c r="A32" s="222"/>
      <c r="B32" s="197"/>
      <c r="C32" s="62" t="s">
        <v>9</v>
      </c>
      <c r="D32" s="27">
        <v>411102</v>
      </c>
      <c r="E32" s="10">
        <f>253240</f>
        <v>253240</v>
      </c>
      <c r="F32" s="10">
        <f>D32-E32</f>
        <v>157862</v>
      </c>
      <c r="G32" s="223"/>
      <c r="H32" s="223"/>
      <c r="I32" s="225"/>
    </row>
    <row r="33" spans="1:16" s="1" customFormat="1" x14ac:dyDescent="0.3">
      <c r="A33" s="194" t="s">
        <v>15</v>
      </c>
      <c r="B33" s="227">
        <v>45918</v>
      </c>
      <c r="C33" s="61" t="s">
        <v>8</v>
      </c>
      <c r="D33" s="22">
        <v>326085</v>
      </c>
      <c r="E33" s="11">
        <f>9000+73000+203666+21039+72240+23400+30000</f>
        <v>432345</v>
      </c>
      <c r="F33" s="2">
        <f t="shared" ref="F33:F40" si="1">D33-E33</f>
        <v>-106260</v>
      </c>
      <c r="G33" s="198">
        <f>D33+D34</f>
        <v>787233</v>
      </c>
      <c r="H33" s="198">
        <f>E33+E34</f>
        <v>808202</v>
      </c>
      <c r="I33" s="200">
        <f>G33-H33</f>
        <v>-20969</v>
      </c>
      <c r="J33"/>
      <c r="K33"/>
      <c r="L33"/>
      <c r="O33"/>
      <c r="P33"/>
    </row>
    <row r="34" spans="1:16" s="1" customFormat="1" ht="15" thickBot="1" x14ac:dyDescent="0.35">
      <c r="A34" s="194"/>
      <c r="B34" s="197"/>
      <c r="C34" s="61" t="s">
        <v>9</v>
      </c>
      <c r="D34" s="22">
        <v>461148</v>
      </c>
      <c r="E34" s="10">
        <f>295857+80000</f>
        <v>375857</v>
      </c>
      <c r="F34" s="2">
        <f t="shared" si="1"/>
        <v>85291</v>
      </c>
      <c r="G34" s="198"/>
      <c r="H34" s="198"/>
      <c r="I34" s="200"/>
      <c r="J34"/>
      <c r="K34"/>
      <c r="L34"/>
      <c r="O34"/>
      <c r="P34"/>
    </row>
    <row r="35" spans="1:16" x14ac:dyDescent="0.3">
      <c r="A35" s="194" t="s">
        <v>16</v>
      </c>
      <c r="B35" s="227">
        <v>45919</v>
      </c>
      <c r="C35" s="61" t="s">
        <v>8</v>
      </c>
      <c r="D35" s="22">
        <v>494990</v>
      </c>
      <c r="E35" s="2">
        <f>9000+11400+191572+39204+46000</f>
        <v>297176</v>
      </c>
      <c r="F35" s="2">
        <f t="shared" si="1"/>
        <v>197814</v>
      </c>
      <c r="G35" s="198">
        <f>D35+D36</f>
        <v>933482</v>
      </c>
      <c r="H35" s="198">
        <f>E35+E36</f>
        <v>637476</v>
      </c>
      <c r="I35" s="200">
        <f>G35-H35</f>
        <v>296006</v>
      </c>
    </row>
    <row r="36" spans="1:16" ht="15" thickBot="1" x14ac:dyDescent="0.35">
      <c r="A36" s="222"/>
      <c r="B36" s="197"/>
      <c r="C36" s="62" t="s">
        <v>9</v>
      </c>
      <c r="D36" s="27">
        <v>438492</v>
      </c>
      <c r="E36" s="10">
        <f>268100+27200+15000+30000</f>
        <v>340300</v>
      </c>
      <c r="F36" s="10">
        <f t="shared" si="1"/>
        <v>98192</v>
      </c>
      <c r="G36" s="223"/>
      <c r="H36" s="223"/>
      <c r="I36" s="225"/>
    </row>
    <row r="37" spans="1:16" x14ac:dyDescent="0.3">
      <c r="A37" s="317" t="s">
        <v>13</v>
      </c>
      <c r="B37" s="319">
        <v>45920</v>
      </c>
      <c r="C37" s="109" t="s">
        <v>8</v>
      </c>
      <c r="D37" s="110">
        <v>288493</v>
      </c>
      <c r="E37" s="111">
        <v>4000</v>
      </c>
      <c r="F37" s="111">
        <f t="shared" si="1"/>
        <v>284493</v>
      </c>
      <c r="G37" s="321">
        <f>D37+D38</f>
        <v>537884</v>
      </c>
      <c r="H37" s="346">
        <f>E37+E38</f>
        <v>54000</v>
      </c>
      <c r="I37" s="323">
        <f>G37-H37</f>
        <v>483884</v>
      </c>
    </row>
    <row r="38" spans="1:16" ht="15" thickBot="1" x14ac:dyDescent="0.35">
      <c r="A38" s="318"/>
      <c r="B38" s="320"/>
      <c r="C38" s="112" t="s">
        <v>9</v>
      </c>
      <c r="D38" s="113">
        <v>249391</v>
      </c>
      <c r="E38" s="114">
        <v>50000</v>
      </c>
      <c r="F38" s="114">
        <f t="shared" si="1"/>
        <v>199391</v>
      </c>
      <c r="G38" s="322"/>
      <c r="H38" s="347"/>
      <c r="I38" s="324"/>
    </row>
    <row r="39" spans="1:16" x14ac:dyDescent="0.3">
      <c r="A39" s="226" t="s">
        <v>17</v>
      </c>
      <c r="B39" s="227">
        <v>45922</v>
      </c>
      <c r="C39" s="76" t="s">
        <v>8</v>
      </c>
      <c r="D39" s="30">
        <v>380219</v>
      </c>
      <c r="E39" s="11">
        <f>9000+12600+21039</f>
        <v>42639</v>
      </c>
      <c r="F39" s="11">
        <f t="shared" si="1"/>
        <v>337580</v>
      </c>
      <c r="G39" s="224">
        <f>D39+D40</f>
        <v>839364</v>
      </c>
      <c r="H39" s="224">
        <f>E39+E40</f>
        <v>217454</v>
      </c>
      <c r="I39" s="228">
        <f>G39-H39</f>
        <v>621910</v>
      </c>
    </row>
    <row r="40" spans="1:16" ht="15" thickBot="1" x14ac:dyDescent="0.35">
      <c r="A40" s="222"/>
      <c r="B40" s="197"/>
      <c r="C40" s="62" t="s">
        <v>9</v>
      </c>
      <c r="D40" s="27">
        <v>459145</v>
      </c>
      <c r="E40" s="10">
        <f>174815</f>
        <v>174815</v>
      </c>
      <c r="F40" s="10">
        <f t="shared" si="1"/>
        <v>284330</v>
      </c>
      <c r="G40" s="223"/>
      <c r="H40" s="223"/>
      <c r="I40" s="225"/>
    </row>
    <row r="41" spans="1:16" x14ac:dyDescent="0.3">
      <c r="A41" s="226" t="s">
        <v>18</v>
      </c>
      <c r="B41" s="227">
        <v>45923</v>
      </c>
      <c r="C41" s="76" t="s">
        <v>8</v>
      </c>
      <c r="D41" s="30">
        <v>386974</v>
      </c>
      <c r="E41" s="11">
        <f>38500+70061+30000+85000</f>
        <v>223561</v>
      </c>
      <c r="F41" s="11">
        <f>D41-E41</f>
        <v>163413</v>
      </c>
      <c r="G41" s="224">
        <f>D41+D42</f>
        <v>1044886</v>
      </c>
      <c r="H41" s="224">
        <f>E41+E42</f>
        <v>554136</v>
      </c>
      <c r="I41" s="228">
        <f>G41-H41</f>
        <v>490750</v>
      </c>
    </row>
    <row r="42" spans="1:16" ht="15" thickBot="1" x14ac:dyDescent="0.35">
      <c r="A42" s="222"/>
      <c r="B42" s="197"/>
      <c r="C42" s="62" t="s">
        <v>9</v>
      </c>
      <c r="D42" s="27">
        <v>657912</v>
      </c>
      <c r="E42" s="10">
        <f>330575</f>
        <v>330575</v>
      </c>
      <c r="F42" s="10">
        <f>D42-E42</f>
        <v>327337</v>
      </c>
      <c r="G42" s="223"/>
      <c r="H42" s="223"/>
      <c r="I42" s="225"/>
      <c r="M42" s="13" t="s">
        <v>2</v>
      </c>
      <c r="N42" s="12">
        <v>1</v>
      </c>
    </row>
    <row r="43" spans="1:16" x14ac:dyDescent="0.3">
      <c r="A43" s="226" t="s">
        <v>14</v>
      </c>
      <c r="B43" s="227">
        <v>45924</v>
      </c>
      <c r="C43" s="76" t="s">
        <v>8</v>
      </c>
      <c r="D43" s="30">
        <v>377319</v>
      </c>
      <c r="E43" s="11">
        <f>9000+87500+64600</f>
        <v>161100</v>
      </c>
      <c r="F43" s="11">
        <f>D43-E43</f>
        <v>216219</v>
      </c>
      <c r="G43" s="224">
        <f>D43+D44</f>
        <v>794127</v>
      </c>
      <c r="H43" s="224">
        <f>E43+E44</f>
        <v>222403</v>
      </c>
      <c r="I43" s="228">
        <f>G43-H43</f>
        <v>571724</v>
      </c>
      <c r="M43" s="14" t="s">
        <v>11</v>
      </c>
      <c r="N43" s="17">
        <f>H55*100/G55/100</f>
        <v>0.64473669718523041</v>
      </c>
    </row>
    <row r="44" spans="1:16" ht="15" thickBot="1" x14ac:dyDescent="0.35">
      <c r="A44" s="222"/>
      <c r="B44" s="197"/>
      <c r="C44" s="62" t="s">
        <v>9</v>
      </c>
      <c r="D44" s="27">
        <v>416808</v>
      </c>
      <c r="E44" s="10">
        <f>21303+25000+15000</f>
        <v>61303</v>
      </c>
      <c r="F44" s="10">
        <f>D44-E44</f>
        <v>355505</v>
      </c>
      <c r="G44" s="223"/>
      <c r="H44" s="223"/>
      <c r="I44" s="225"/>
      <c r="M44" s="15" t="s">
        <v>3</v>
      </c>
      <c r="N44" s="16">
        <f>(100%-N43)</f>
        <v>0.35526330281476959</v>
      </c>
    </row>
    <row r="45" spans="1:16" s="1" customFormat="1" x14ac:dyDescent="0.3">
      <c r="A45" s="194" t="s">
        <v>15</v>
      </c>
      <c r="B45" s="227">
        <v>45925</v>
      </c>
      <c r="C45" s="61" t="s">
        <v>8</v>
      </c>
      <c r="D45" s="22">
        <v>386589</v>
      </c>
      <c r="E45" s="2">
        <f>9000+65500+21900+67880+10000</f>
        <v>174280</v>
      </c>
      <c r="F45" s="2">
        <f t="shared" ref="F45:F52" si="2">D45-E45</f>
        <v>212309</v>
      </c>
      <c r="G45" s="198">
        <f>D45+D46</f>
        <v>858303</v>
      </c>
      <c r="H45" s="198">
        <f>E45+E46</f>
        <v>505895</v>
      </c>
      <c r="I45" s="200">
        <f>G45-H45</f>
        <v>352408</v>
      </c>
      <c r="J45"/>
      <c r="K45"/>
      <c r="L45"/>
      <c r="M45"/>
      <c r="N45"/>
      <c r="O45"/>
      <c r="P45"/>
    </row>
    <row r="46" spans="1:16" s="1" customFormat="1" x14ac:dyDescent="0.3">
      <c r="A46" s="194"/>
      <c r="B46" s="197"/>
      <c r="C46" s="61" t="s">
        <v>9</v>
      </c>
      <c r="D46" s="22">
        <v>471714</v>
      </c>
      <c r="E46" s="2">
        <f>331615</f>
        <v>331615</v>
      </c>
      <c r="F46" s="2">
        <f t="shared" si="2"/>
        <v>140099</v>
      </c>
      <c r="G46" s="198"/>
      <c r="H46" s="198"/>
      <c r="I46" s="200"/>
      <c r="J46"/>
      <c r="K46"/>
      <c r="L46"/>
      <c r="M46"/>
      <c r="N46"/>
      <c r="O46"/>
      <c r="P46"/>
    </row>
    <row r="47" spans="1:16" x14ac:dyDescent="0.3">
      <c r="A47" s="194" t="s">
        <v>16</v>
      </c>
      <c r="B47" s="227">
        <v>45926</v>
      </c>
      <c r="C47" s="61" t="s">
        <v>8</v>
      </c>
      <c r="D47" s="22">
        <v>538116</v>
      </c>
      <c r="E47" s="2">
        <f>267844+67746+9000+10000</f>
        <v>354590</v>
      </c>
      <c r="F47" s="2">
        <f t="shared" si="2"/>
        <v>183526</v>
      </c>
      <c r="G47" s="198">
        <f>D47+D48</f>
        <v>1008520</v>
      </c>
      <c r="H47" s="198">
        <f>E47+E48</f>
        <v>912690</v>
      </c>
      <c r="I47" s="200">
        <f>G47-H47</f>
        <v>95830</v>
      </c>
    </row>
    <row r="48" spans="1:16" ht="15" thickBot="1" x14ac:dyDescent="0.35">
      <c r="A48" s="222"/>
      <c r="B48" s="197"/>
      <c r="C48" s="62" t="s">
        <v>9</v>
      </c>
      <c r="D48" s="27">
        <v>470404</v>
      </c>
      <c r="E48" s="10">
        <f>300100+58000+200000</f>
        <v>558100</v>
      </c>
      <c r="F48" s="10">
        <f t="shared" si="2"/>
        <v>-87696</v>
      </c>
      <c r="G48" s="223"/>
      <c r="H48" s="223"/>
      <c r="I48" s="225"/>
    </row>
    <row r="49" spans="1:17" ht="15" thickBot="1" x14ac:dyDescent="0.35">
      <c r="A49" s="202" t="s">
        <v>13</v>
      </c>
      <c r="B49" s="264">
        <v>45927</v>
      </c>
      <c r="C49" s="77" t="s">
        <v>8</v>
      </c>
      <c r="D49" s="35">
        <v>375867</v>
      </c>
      <c r="E49" s="36">
        <v>528000</v>
      </c>
      <c r="F49" s="36">
        <f t="shared" si="2"/>
        <v>-152133</v>
      </c>
      <c r="G49" s="206">
        <f>D49+D50</f>
        <v>719020</v>
      </c>
      <c r="H49" s="206">
        <f>E49+E50</f>
        <v>532500</v>
      </c>
      <c r="I49" s="208">
        <f>G49-H49</f>
        <v>186520</v>
      </c>
    </row>
    <row r="50" spans="1:17" ht="15" thickBot="1" x14ac:dyDescent="0.35">
      <c r="A50" s="203"/>
      <c r="B50" s="280"/>
      <c r="C50" s="78" t="s">
        <v>9</v>
      </c>
      <c r="D50" s="35">
        <v>343153</v>
      </c>
      <c r="E50" s="38">
        <v>4500</v>
      </c>
      <c r="F50" s="38">
        <f t="shared" si="2"/>
        <v>338653</v>
      </c>
      <c r="G50" s="207"/>
      <c r="H50" s="207"/>
      <c r="I50" s="209"/>
    </row>
    <row r="51" spans="1:17" ht="15" customHeight="1" x14ac:dyDescent="0.3">
      <c r="A51" s="348" t="s">
        <v>17</v>
      </c>
      <c r="B51" s="349">
        <v>45929</v>
      </c>
      <c r="C51" s="133" t="s">
        <v>8</v>
      </c>
      <c r="D51" s="134"/>
      <c r="E51" s="135"/>
      <c r="F51" s="135">
        <f t="shared" si="2"/>
        <v>0</v>
      </c>
      <c r="G51" s="350">
        <f>D51+D52</f>
        <v>0</v>
      </c>
      <c r="H51" s="350">
        <f>E51+E52</f>
        <v>0</v>
      </c>
      <c r="I51" s="351">
        <f>G51-H51</f>
        <v>0</v>
      </c>
      <c r="J51" s="353" t="s">
        <v>56</v>
      </c>
      <c r="K51" s="354"/>
    </row>
    <row r="52" spans="1:17" ht="15" thickBot="1" x14ac:dyDescent="0.35">
      <c r="A52" s="285"/>
      <c r="B52" s="287"/>
      <c r="C52" s="92" t="s">
        <v>9</v>
      </c>
      <c r="D52" s="93"/>
      <c r="E52" s="94"/>
      <c r="F52" s="94">
        <f t="shared" si="2"/>
        <v>0</v>
      </c>
      <c r="G52" s="289"/>
      <c r="H52" s="289"/>
      <c r="I52" s="352"/>
      <c r="J52" s="355"/>
      <c r="K52" s="356"/>
    </row>
    <row r="53" spans="1:17" x14ac:dyDescent="0.3">
      <c r="A53" s="226" t="s">
        <v>18</v>
      </c>
      <c r="B53" s="227">
        <v>45930</v>
      </c>
      <c r="C53" s="76" t="s">
        <v>8</v>
      </c>
      <c r="D53" s="30">
        <v>437411</v>
      </c>
      <c r="E53" s="11">
        <f>197075+80280+18600+9000</f>
        <v>304955</v>
      </c>
      <c r="F53" s="11">
        <f>D53-E53</f>
        <v>132456</v>
      </c>
      <c r="G53" s="224">
        <f>D53+D54</f>
        <v>913880</v>
      </c>
      <c r="H53" s="224">
        <f>E53+E54</f>
        <v>792884</v>
      </c>
      <c r="I53" s="228">
        <f>G53-H53</f>
        <v>120996</v>
      </c>
    </row>
    <row r="54" spans="1:17" ht="15" thickBot="1" x14ac:dyDescent="0.35">
      <c r="A54" s="222"/>
      <c r="B54" s="197"/>
      <c r="C54" s="62" t="s">
        <v>9</v>
      </c>
      <c r="D54" s="27">
        <v>476469</v>
      </c>
      <c r="E54" s="10">
        <f>147929+60000+280000</f>
        <v>487929</v>
      </c>
      <c r="F54" s="10">
        <f>D54-E54</f>
        <v>-11460</v>
      </c>
      <c r="G54" s="223"/>
      <c r="H54" s="223"/>
      <c r="I54" s="225"/>
    </row>
    <row r="55" spans="1:17" s="1" customFormat="1" ht="15" thickBot="1" x14ac:dyDescent="0.35">
      <c r="A55"/>
      <c r="B55" s="277" t="s">
        <v>10</v>
      </c>
      <c r="C55" s="278"/>
      <c r="D55" s="50">
        <f t="shared" ref="D55:I55" si="3">SUM(D3:D54)</f>
        <v>21336631</v>
      </c>
      <c r="E55" s="50">
        <f t="shared" si="3"/>
        <v>13756509</v>
      </c>
      <c r="F55" s="50">
        <f t="shared" si="3"/>
        <v>7580122</v>
      </c>
      <c r="G55" s="50">
        <f t="shared" si="3"/>
        <v>21336631</v>
      </c>
      <c r="H55" s="50">
        <f t="shared" si="3"/>
        <v>13756509</v>
      </c>
      <c r="I55" s="50">
        <f t="shared" si="3"/>
        <v>7580122</v>
      </c>
      <c r="J55"/>
      <c r="K55" s="39"/>
      <c r="L55"/>
      <c r="M55"/>
      <c r="N55"/>
      <c r="O55"/>
      <c r="P55"/>
    </row>
    <row r="56" spans="1:17" s="1" customFormat="1" x14ac:dyDescent="0.3">
      <c r="A56"/>
      <c r="J56"/>
      <c r="K56" s="39"/>
      <c r="L56"/>
      <c r="M56"/>
      <c r="N56"/>
      <c r="O56"/>
      <c r="P56"/>
    </row>
    <row r="57" spans="1:17" s="1" customFormat="1" x14ac:dyDescent="0.3">
      <c r="A57"/>
      <c r="J57"/>
      <c r="K57" s="39"/>
      <c r="L57"/>
      <c r="M57"/>
      <c r="N57"/>
      <c r="O57"/>
      <c r="P57"/>
    </row>
    <row r="58" spans="1:17" s="1" customFormat="1" x14ac:dyDescent="0.3">
      <c r="A58"/>
      <c r="J58"/>
      <c r="K58" s="39"/>
      <c r="L58"/>
      <c r="M58"/>
      <c r="N58"/>
      <c r="O58"/>
      <c r="P58"/>
    </row>
    <row r="59" spans="1:17" x14ac:dyDescent="0.3">
      <c r="K59" s="39"/>
    </row>
    <row r="60" spans="1:17" x14ac:dyDescent="0.3">
      <c r="D60" s="20" t="s">
        <v>21</v>
      </c>
      <c r="E60" s="2">
        <f>MAXA(D3:D50)</f>
        <v>677028</v>
      </c>
      <c r="F60" s="283">
        <v>45751</v>
      </c>
      <c r="G60" s="187"/>
      <c r="K60" s="39"/>
    </row>
    <row r="61" spans="1:17" x14ac:dyDescent="0.3">
      <c r="D61" s="21" t="s">
        <v>22</v>
      </c>
      <c r="E61" s="2">
        <f>IF(MINA(D3:D40)&lt;&gt;0, MINA(D3:D18))</f>
        <v>235071</v>
      </c>
      <c r="F61" s="283">
        <v>45749</v>
      </c>
      <c r="G61" s="187"/>
      <c r="K61" s="39"/>
    </row>
    <row r="62" spans="1:17" s="1" customFormat="1" x14ac:dyDescent="0.3">
      <c r="A62"/>
      <c r="C62" s="1" t="s">
        <v>20</v>
      </c>
      <c r="J62"/>
      <c r="K62"/>
      <c r="L62"/>
      <c r="M62"/>
      <c r="N62"/>
    </row>
    <row r="63" spans="1:17" x14ac:dyDescent="0.3">
      <c r="D63" s="192" t="s">
        <v>36</v>
      </c>
      <c r="E63" s="18" t="e">
        <f>AVERAGEA(#REF!)</f>
        <v>#REF!</v>
      </c>
      <c r="F63" s="187" t="s">
        <v>23</v>
      </c>
      <c r="G63" s="187"/>
      <c r="I63" s="193" t="s">
        <v>37</v>
      </c>
      <c r="J63" s="18" t="e">
        <f>AVERAGEA(#REF!)</f>
        <v>#REF!</v>
      </c>
      <c r="K63" s="187" t="s">
        <v>23</v>
      </c>
      <c r="L63" s="187"/>
      <c r="N63" s="188" t="s">
        <v>38</v>
      </c>
      <c r="O63" s="18" t="e">
        <f>AVERAGEA(#REF!)</f>
        <v>#REF!</v>
      </c>
      <c r="P63" s="187" t="s">
        <v>23</v>
      </c>
      <c r="Q63" s="187"/>
    </row>
    <row r="64" spans="1:17" x14ac:dyDescent="0.3">
      <c r="D64" s="192"/>
      <c r="E64" s="18">
        <f>AVERAGEA(G3:G14)</f>
        <v>938249.66666666663</v>
      </c>
      <c r="F64" s="187" t="s">
        <v>24</v>
      </c>
      <c r="G64" s="187"/>
      <c r="I64" s="193"/>
      <c r="J64" s="18">
        <f>AVERAGEA(H3:H14)</f>
        <v>481606.5</v>
      </c>
      <c r="K64" s="187" t="s">
        <v>24</v>
      </c>
      <c r="L64" s="187"/>
      <c r="N64" s="188"/>
      <c r="O64" s="18">
        <f>AVERAGEA(F3:F14)</f>
        <v>228321.58333333334</v>
      </c>
      <c r="P64" s="187" t="s">
        <v>24</v>
      </c>
      <c r="Q64" s="187"/>
    </row>
    <row r="65" spans="1:17" x14ac:dyDescent="0.3">
      <c r="D65" s="192"/>
      <c r="E65" s="18">
        <f>AVERAGEA(G15:G26)</f>
        <v>824511</v>
      </c>
      <c r="F65" s="187" t="s">
        <v>25</v>
      </c>
      <c r="G65" s="187"/>
      <c r="I65" s="193"/>
      <c r="J65" s="18">
        <f>AVERAGEA(H15:H26)</f>
        <v>675427.33333333337</v>
      </c>
      <c r="K65" s="187" t="s">
        <v>25</v>
      </c>
      <c r="L65" s="187"/>
      <c r="N65" s="188"/>
      <c r="O65" s="18">
        <f>AVERAGEA(F15:F26)</f>
        <v>74541.833333333328</v>
      </c>
      <c r="P65" s="187" t="s">
        <v>25</v>
      </c>
      <c r="Q65" s="187"/>
    </row>
    <row r="66" spans="1:17" x14ac:dyDescent="0.3">
      <c r="D66" s="192"/>
      <c r="E66" s="18">
        <f>AVERAGEA(G27:G38)</f>
        <v>763661.16666666663</v>
      </c>
      <c r="F66" s="184" t="s">
        <v>26</v>
      </c>
      <c r="G66" s="185"/>
      <c r="I66" s="193"/>
      <c r="J66" s="18">
        <f>AVERAGEA(H27:H38)</f>
        <v>512724</v>
      </c>
      <c r="K66" s="184" t="s">
        <v>26</v>
      </c>
      <c r="L66" s="185"/>
      <c r="N66" s="188"/>
      <c r="O66" s="18">
        <f>AVERAGEA(F27:F38)</f>
        <v>125468.58333333333</v>
      </c>
      <c r="P66" s="184" t="s">
        <v>26</v>
      </c>
      <c r="Q66" s="185"/>
    </row>
    <row r="67" spans="1:17" x14ac:dyDescent="0.3">
      <c r="D67" s="192"/>
      <c r="E67" s="18">
        <f>AVERAGEA(G39:G46)</f>
        <v>884170</v>
      </c>
      <c r="F67" s="184" t="s">
        <v>34</v>
      </c>
      <c r="G67" s="185"/>
      <c r="I67" s="193"/>
      <c r="J67" s="18">
        <f>AVERAGEA(H39:H46)</f>
        <v>374972</v>
      </c>
      <c r="K67" s="184" t="s">
        <v>34</v>
      </c>
      <c r="L67" s="185"/>
      <c r="N67" s="188"/>
      <c r="O67" s="18">
        <f>AVERAGEA(I39:I46)</f>
        <v>509198</v>
      </c>
      <c r="P67" s="184" t="s">
        <v>34</v>
      </c>
      <c r="Q67" s="185"/>
    </row>
    <row r="68" spans="1:17" x14ac:dyDescent="0.3">
      <c r="D68" s="192"/>
      <c r="E68" s="28" t="e">
        <f>AVERAGEA(E63:E66)</f>
        <v>#REF!</v>
      </c>
      <c r="F68" s="186" t="s">
        <v>10</v>
      </c>
      <c r="G68" s="186"/>
      <c r="I68" s="193"/>
      <c r="J68" s="28" t="e">
        <f>AVERAGEA(J63:J66)</f>
        <v>#REF!</v>
      </c>
      <c r="K68" s="186" t="s">
        <v>10</v>
      </c>
      <c r="L68" s="186"/>
      <c r="N68" s="189"/>
      <c r="O68" s="28" t="e">
        <f>AVERAGEA(O63:O66)</f>
        <v>#REF!</v>
      </c>
      <c r="P68" s="186" t="s">
        <v>10</v>
      </c>
      <c r="Q68" s="186"/>
    </row>
    <row r="70" spans="1:17" x14ac:dyDescent="0.3">
      <c r="D70"/>
      <c r="E70"/>
      <c r="F70"/>
      <c r="G70"/>
      <c r="H70"/>
      <c r="I70"/>
    </row>
    <row r="71" spans="1:17" s="1" customFormat="1" x14ac:dyDescent="0.3">
      <c r="A71"/>
      <c r="D71"/>
      <c r="E71"/>
      <c r="F71"/>
      <c r="G71"/>
      <c r="H71"/>
      <c r="I71"/>
      <c r="J71"/>
      <c r="K71"/>
      <c r="L71"/>
      <c r="M71"/>
      <c r="N71"/>
    </row>
    <row r="72" spans="1:17" x14ac:dyDescent="0.3">
      <c r="D72"/>
      <c r="E72"/>
      <c r="F72"/>
      <c r="G72"/>
      <c r="H72"/>
      <c r="I72"/>
    </row>
    <row r="73" spans="1:17" ht="27" customHeight="1" x14ac:dyDescent="0.3">
      <c r="D73"/>
      <c r="E73"/>
      <c r="F73"/>
      <c r="G73"/>
      <c r="H73"/>
      <c r="I73"/>
    </row>
    <row r="74" spans="1:17" x14ac:dyDescent="0.3">
      <c r="D74"/>
      <c r="E74"/>
      <c r="F74"/>
      <c r="G74"/>
      <c r="H74"/>
      <c r="I74"/>
    </row>
    <row r="75" spans="1:17" x14ac:dyDescent="0.3">
      <c r="D75"/>
      <c r="E75"/>
      <c r="F75"/>
      <c r="G75"/>
      <c r="H75"/>
      <c r="I75"/>
    </row>
    <row r="76" spans="1:17" x14ac:dyDescent="0.3">
      <c r="D76"/>
      <c r="E76"/>
      <c r="F76"/>
      <c r="G76"/>
      <c r="H76"/>
      <c r="I76"/>
    </row>
    <row r="77" spans="1:17" x14ac:dyDescent="0.3">
      <c r="D77"/>
      <c r="E77"/>
      <c r="F77"/>
      <c r="G77"/>
      <c r="H77"/>
      <c r="I77"/>
    </row>
    <row r="78" spans="1:17" x14ac:dyDescent="0.3">
      <c r="D78"/>
      <c r="E78"/>
      <c r="F78"/>
      <c r="G78"/>
      <c r="H78"/>
      <c r="I78"/>
    </row>
    <row r="79" spans="1:17" x14ac:dyDescent="0.3">
      <c r="D79"/>
      <c r="E79"/>
      <c r="F79"/>
      <c r="G79"/>
      <c r="H79"/>
      <c r="I79"/>
    </row>
    <row r="80" spans="1:17" x14ac:dyDescent="0.3">
      <c r="D80"/>
      <c r="E80"/>
      <c r="F80"/>
      <c r="G80"/>
      <c r="H80"/>
      <c r="I80"/>
    </row>
  </sheetData>
  <autoFilter ref="B2:I28" xr:uid="{00000000-0009-0000-0000-000001000000}"/>
  <mergeCells count="162">
    <mergeCell ref="H53:H54"/>
    <mergeCell ref="I53:I54"/>
    <mergeCell ref="K66:L66"/>
    <mergeCell ref="P66:Q66"/>
    <mergeCell ref="J51:K52"/>
    <mergeCell ref="F67:G67"/>
    <mergeCell ref="K67:L67"/>
    <mergeCell ref="P67:Q67"/>
    <mergeCell ref="F68:G68"/>
    <mergeCell ref="K68:L68"/>
    <mergeCell ref="P68:Q68"/>
    <mergeCell ref="K63:L63"/>
    <mergeCell ref="N63:N68"/>
    <mergeCell ref="P63:Q63"/>
    <mergeCell ref="F64:G64"/>
    <mergeCell ref="K64:L64"/>
    <mergeCell ref="P64:Q64"/>
    <mergeCell ref="F65:G65"/>
    <mergeCell ref="K65:L65"/>
    <mergeCell ref="P65:Q65"/>
    <mergeCell ref="F66:G66"/>
    <mergeCell ref="B55:C55"/>
    <mergeCell ref="F60:G60"/>
    <mergeCell ref="F61:G61"/>
    <mergeCell ref="D63:D68"/>
    <mergeCell ref="F63:G63"/>
    <mergeCell ref="I63:I68"/>
    <mergeCell ref="A47:A48"/>
    <mergeCell ref="B47:B48"/>
    <mergeCell ref="G47:G48"/>
    <mergeCell ref="H47:H48"/>
    <mergeCell ref="I47:I48"/>
    <mergeCell ref="A49:A50"/>
    <mergeCell ref="B49:B50"/>
    <mergeCell ref="G49:G50"/>
    <mergeCell ref="H49:H50"/>
    <mergeCell ref="I49:I50"/>
    <mergeCell ref="A51:A52"/>
    <mergeCell ref="B51:B52"/>
    <mergeCell ref="G51:G52"/>
    <mergeCell ref="H51:H52"/>
    <mergeCell ref="I51:I52"/>
    <mergeCell ref="A53:A54"/>
    <mergeCell ref="B53:B54"/>
    <mergeCell ref="G53:G54"/>
    <mergeCell ref="A43:A44"/>
    <mergeCell ref="B43:B44"/>
    <mergeCell ref="G43:G44"/>
    <mergeCell ref="H43:H44"/>
    <mergeCell ref="I43:I44"/>
    <mergeCell ref="A45:A46"/>
    <mergeCell ref="B45:B46"/>
    <mergeCell ref="G45:G46"/>
    <mergeCell ref="H45:H46"/>
    <mergeCell ref="I45:I46"/>
    <mergeCell ref="A39:A40"/>
    <mergeCell ref="B39:B40"/>
    <mergeCell ref="G39:G40"/>
    <mergeCell ref="H39:H40"/>
    <mergeCell ref="I39:I40"/>
    <mergeCell ref="A41:A42"/>
    <mergeCell ref="B41:B42"/>
    <mergeCell ref="G41:G42"/>
    <mergeCell ref="H41:H42"/>
    <mergeCell ref="I41:I42"/>
    <mergeCell ref="A35:A36"/>
    <mergeCell ref="B35:B36"/>
    <mergeCell ref="G35:G36"/>
    <mergeCell ref="H35:H36"/>
    <mergeCell ref="I35:I36"/>
    <mergeCell ref="A37:A38"/>
    <mergeCell ref="B37:B38"/>
    <mergeCell ref="G37:G38"/>
    <mergeCell ref="H37:H38"/>
    <mergeCell ref="I37:I38"/>
    <mergeCell ref="A31:A32"/>
    <mergeCell ref="B31:B32"/>
    <mergeCell ref="G31:G32"/>
    <mergeCell ref="H31:H32"/>
    <mergeCell ref="I31:I32"/>
    <mergeCell ref="A33:A34"/>
    <mergeCell ref="B33:B34"/>
    <mergeCell ref="G33:G34"/>
    <mergeCell ref="H33:H34"/>
    <mergeCell ref="I33:I34"/>
    <mergeCell ref="A27:A28"/>
    <mergeCell ref="B27:B28"/>
    <mergeCell ref="G27:G28"/>
    <mergeCell ref="H27:H28"/>
    <mergeCell ref="I27:I28"/>
    <mergeCell ref="A29:A30"/>
    <mergeCell ref="B29:B30"/>
    <mergeCell ref="G29:G30"/>
    <mergeCell ref="H29:H30"/>
    <mergeCell ref="I29:I30"/>
    <mergeCell ref="A23:A24"/>
    <mergeCell ref="B23:B24"/>
    <mergeCell ref="G23:G24"/>
    <mergeCell ref="H23:H24"/>
    <mergeCell ref="I23:I24"/>
    <mergeCell ref="A25:A26"/>
    <mergeCell ref="B25:B26"/>
    <mergeCell ref="G25:G26"/>
    <mergeCell ref="H25:H26"/>
    <mergeCell ref="I25:I26"/>
    <mergeCell ref="A19:A20"/>
    <mergeCell ref="B19:B20"/>
    <mergeCell ref="G19:G20"/>
    <mergeCell ref="H19:H20"/>
    <mergeCell ref="I19:I20"/>
    <mergeCell ref="A21:A22"/>
    <mergeCell ref="B21:B22"/>
    <mergeCell ref="G21:G22"/>
    <mergeCell ref="H21:H22"/>
    <mergeCell ref="I21:I22"/>
    <mergeCell ref="G13:G14"/>
    <mergeCell ref="H13:H14"/>
    <mergeCell ref="I13:I14"/>
    <mergeCell ref="A15:A16"/>
    <mergeCell ref="B15:B16"/>
    <mergeCell ref="G15:G16"/>
    <mergeCell ref="H15:H16"/>
    <mergeCell ref="I15:I16"/>
    <mergeCell ref="A17:A18"/>
    <mergeCell ref="B17:B18"/>
    <mergeCell ref="G17:G18"/>
    <mergeCell ref="H17:H18"/>
    <mergeCell ref="I17:I18"/>
    <mergeCell ref="A3:A4"/>
    <mergeCell ref="B3:B4"/>
    <mergeCell ref="G3:G4"/>
    <mergeCell ref="H3:H4"/>
    <mergeCell ref="I3:I4"/>
    <mergeCell ref="A1:A2"/>
    <mergeCell ref="B1:B2"/>
    <mergeCell ref="C1:C2"/>
    <mergeCell ref="D1:F1"/>
    <mergeCell ref="G1:I1"/>
    <mergeCell ref="J7:J8"/>
    <mergeCell ref="A9:A10"/>
    <mergeCell ref="B9:B10"/>
    <mergeCell ref="G9:G10"/>
    <mergeCell ref="H9:H10"/>
    <mergeCell ref="I9:I10"/>
    <mergeCell ref="J17:J18"/>
    <mergeCell ref="A5:A6"/>
    <mergeCell ref="B5:B6"/>
    <mergeCell ref="G5:G6"/>
    <mergeCell ref="H5:H6"/>
    <mergeCell ref="I5:I6"/>
    <mergeCell ref="A7:A8"/>
    <mergeCell ref="B7:B8"/>
    <mergeCell ref="G7:G8"/>
    <mergeCell ref="H7:H8"/>
    <mergeCell ref="I7:I8"/>
    <mergeCell ref="A11:A12"/>
    <mergeCell ref="B11:B12"/>
    <mergeCell ref="G11:G12"/>
    <mergeCell ref="H11:H12"/>
    <mergeCell ref="I11:I12"/>
    <mergeCell ref="A13:A14"/>
    <mergeCell ref="B13:B14"/>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08B11-2232-454F-8E12-1E46AE125A3D}">
  <sheetPr>
    <tabColor theme="2" tint="-9.9978637043366805E-2"/>
  </sheetPr>
  <dimension ref="A1:T82"/>
  <sheetViews>
    <sheetView showGridLines="0" zoomScale="85" zoomScaleNormal="85" workbookViewId="0">
      <pane xSplit="3" ySplit="2" topLeftCell="D39" activePane="bottomRight" state="frozen"/>
      <selection activeCell="S39" sqref="S39"/>
      <selection pane="topRight" activeCell="S39" sqref="S39"/>
      <selection pane="bottomLeft" activeCell="S39" sqref="S39"/>
      <selection pane="bottomRight" activeCell="S39" sqref="S39"/>
    </sheetView>
  </sheetViews>
  <sheetFormatPr baseColWidth="10" defaultRowHeight="14.4" x14ac:dyDescent="0.3"/>
  <cols>
    <col min="1" max="1" width="8.88671875" customWidth="1"/>
    <col min="2" max="2" width="12.44140625" style="1" customWidth="1"/>
    <col min="3" max="3" width="8.88671875" style="1" customWidth="1"/>
    <col min="4" max="4" width="13.33203125" style="1" customWidth="1"/>
    <col min="5" max="5" width="13.5546875" style="1" customWidth="1"/>
    <col min="6" max="6" width="11.33203125" style="1" customWidth="1"/>
    <col min="7" max="7" width="13.88671875" style="1" customWidth="1"/>
    <col min="8" max="8" width="13.44140625" style="1" customWidth="1"/>
    <col min="9" max="9" width="11.88671875" style="1" customWidth="1"/>
    <col min="10" max="10" width="12" bestFit="1" customWidth="1"/>
    <col min="11" max="11" width="12.33203125" bestFit="1" customWidth="1"/>
  </cols>
  <sheetData>
    <row r="1" spans="1:16" x14ac:dyDescent="0.3">
      <c r="A1" s="241" t="s">
        <v>12</v>
      </c>
      <c r="B1" s="241" t="s">
        <v>0</v>
      </c>
      <c r="C1" s="241" t="s">
        <v>1</v>
      </c>
      <c r="D1" s="243" t="s">
        <v>7</v>
      </c>
      <c r="E1" s="244"/>
      <c r="F1" s="244"/>
      <c r="G1" s="245" t="s">
        <v>10</v>
      </c>
      <c r="H1" s="246"/>
      <c r="I1" s="247"/>
    </row>
    <row r="2" spans="1:16" ht="15" thickBot="1" x14ac:dyDescent="0.35">
      <c r="A2" s="242"/>
      <c r="B2" s="242"/>
      <c r="C2" s="242"/>
      <c r="D2" s="4" t="s">
        <v>4</v>
      </c>
      <c r="E2" s="5" t="s">
        <v>5</v>
      </c>
      <c r="F2" s="7" t="s">
        <v>6</v>
      </c>
      <c r="G2" s="8" t="s">
        <v>2</v>
      </c>
      <c r="H2" s="5" t="s">
        <v>11</v>
      </c>
      <c r="I2" s="9" t="s">
        <v>3</v>
      </c>
    </row>
    <row r="3" spans="1:16" s="1" customFormat="1" ht="14.25" customHeight="1" x14ac:dyDescent="0.3">
      <c r="A3" s="194" t="s">
        <v>19</v>
      </c>
      <c r="B3" s="196">
        <v>45931</v>
      </c>
      <c r="C3" s="67" t="s">
        <v>8</v>
      </c>
      <c r="D3" s="68">
        <v>477994</v>
      </c>
      <c r="E3" s="69">
        <f>9000+298448</f>
        <v>307448</v>
      </c>
      <c r="F3" s="69">
        <f t="shared" ref="F3:F24" si="0">D3-E3</f>
        <v>170546</v>
      </c>
      <c r="G3" s="236">
        <f>D3+D4</f>
        <v>995653</v>
      </c>
      <c r="H3" s="236">
        <f>E3+E4</f>
        <v>543548</v>
      </c>
      <c r="I3" s="238">
        <f>G3-H3</f>
        <v>452105</v>
      </c>
      <c r="J3" s="210"/>
      <c r="K3"/>
      <c r="L3"/>
    </row>
    <row r="4" spans="1:16" s="1" customFormat="1" ht="15" thickBot="1" x14ac:dyDescent="0.35">
      <c r="A4" s="194"/>
      <c r="B4" s="197"/>
      <c r="C4" s="67" t="s">
        <v>9</v>
      </c>
      <c r="D4" s="68">
        <v>517659</v>
      </c>
      <c r="E4" s="69">
        <f>71100+90000+65000+10000</f>
        <v>236100</v>
      </c>
      <c r="F4" s="69">
        <f t="shared" si="0"/>
        <v>281559</v>
      </c>
      <c r="G4" s="236"/>
      <c r="H4" s="236"/>
      <c r="I4" s="238"/>
      <c r="J4" s="210"/>
      <c r="K4"/>
      <c r="L4"/>
    </row>
    <row r="5" spans="1:16" s="1" customFormat="1" x14ac:dyDescent="0.3">
      <c r="A5" s="194" t="s">
        <v>15</v>
      </c>
      <c r="B5" s="196">
        <v>45932</v>
      </c>
      <c r="C5" s="104" t="s">
        <v>8</v>
      </c>
      <c r="D5" s="2">
        <v>450563</v>
      </c>
      <c r="E5" s="2">
        <f>10000+283568+68084+55140</f>
        <v>416792</v>
      </c>
      <c r="F5" s="2">
        <f t="shared" si="0"/>
        <v>33771</v>
      </c>
      <c r="G5" s="198">
        <f>D5+D6</f>
        <v>857540</v>
      </c>
      <c r="H5" s="198">
        <f>E5+E6</f>
        <v>853292</v>
      </c>
      <c r="I5" s="200">
        <f>G5-H5</f>
        <v>4248</v>
      </c>
      <c r="K5"/>
      <c r="L5"/>
      <c r="M5"/>
      <c r="N5"/>
    </row>
    <row r="6" spans="1:16" s="1" customFormat="1" ht="15" thickBot="1" x14ac:dyDescent="0.35">
      <c r="A6" s="194"/>
      <c r="B6" s="197"/>
      <c r="C6" s="104" t="s">
        <v>9</v>
      </c>
      <c r="D6" s="2">
        <v>406977</v>
      </c>
      <c r="E6" s="2">
        <f>37400+15100+80000+8000+296000</f>
        <v>436500</v>
      </c>
      <c r="F6" s="2">
        <f t="shared" si="0"/>
        <v>-29523</v>
      </c>
      <c r="G6" s="198"/>
      <c r="H6" s="198"/>
      <c r="I6" s="200"/>
      <c r="K6"/>
      <c r="L6"/>
      <c r="M6"/>
      <c r="N6"/>
    </row>
    <row r="7" spans="1:16" x14ac:dyDescent="0.3">
      <c r="A7" s="194" t="s">
        <v>16</v>
      </c>
      <c r="B7" s="196">
        <v>45933</v>
      </c>
      <c r="C7" s="104" t="s">
        <v>8</v>
      </c>
      <c r="D7" s="2">
        <v>497416</v>
      </c>
      <c r="E7" s="2">
        <f>242459+10000+21300</f>
        <v>273759</v>
      </c>
      <c r="F7" s="2">
        <f t="shared" si="0"/>
        <v>223657</v>
      </c>
      <c r="G7" s="198">
        <f>D7+D8</f>
        <v>958345</v>
      </c>
      <c r="H7" s="198">
        <f>E7+E8</f>
        <v>535133</v>
      </c>
      <c r="I7" s="200">
        <f>G7-H7</f>
        <v>423212</v>
      </c>
    </row>
    <row r="8" spans="1:16" ht="15" thickBot="1" x14ac:dyDescent="0.35">
      <c r="A8" s="195"/>
      <c r="B8" s="197"/>
      <c r="C8" s="105" t="s">
        <v>9</v>
      </c>
      <c r="D8" s="6">
        <v>460929</v>
      </c>
      <c r="E8" s="6">
        <f>43124+218250</f>
        <v>261374</v>
      </c>
      <c r="F8" s="6">
        <f t="shared" si="0"/>
        <v>199555</v>
      </c>
      <c r="G8" s="199"/>
      <c r="H8" s="199"/>
      <c r="I8" s="201"/>
    </row>
    <row r="9" spans="1:16" x14ac:dyDescent="0.3">
      <c r="A9" s="317" t="s">
        <v>13</v>
      </c>
      <c r="B9" s="335">
        <v>45934</v>
      </c>
      <c r="C9" s="131" t="s">
        <v>8</v>
      </c>
      <c r="D9" s="111">
        <v>295126</v>
      </c>
      <c r="E9" s="111">
        <f>4500+25000</f>
        <v>29500</v>
      </c>
      <c r="F9" s="111">
        <f t="shared" si="0"/>
        <v>265626</v>
      </c>
      <c r="G9" s="321">
        <f>D9+D10</f>
        <v>550318</v>
      </c>
      <c r="H9" s="321">
        <f>E9+E10</f>
        <v>83500</v>
      </c>
      <c r="I9" s="323">
        <f>G9-H9</f>
        <v>466818</v>
      </c>
    </row>
    <row r="10" spans="1:16" ht="15" thickBot="1" x14ac:dyDescent="0.35">
      <c r="A10" s="318"/>
      <c r="B10" s="345"/>
      <c r="C10" s="132" t="s">
        <v>35</v>
      </c>
      <c r="D10" s="114">
        <v>255192</v>
      </c>
      <c r="E10" s="114">
        <f>20000+8000+26000</f>
        <v>54000</v>
      </c>
      <c r="F10" s="114">
        <f t="shared" si="0"/>
        <v>201192</v>
      </c>
      <c r="G10" s="322"/>
      <c r="H10" s="322"/>
      <c r="I10" s="324"/>
    </row>
    <row r="11" spans="1:16" s="1" customFormat="1" x14ac:dyDescent="0.3">
      <c r="A11" s="219" t="s">
        <v>17</v>
      </c>
      <c r="B11" s="196">
        <v>45936</v>
      </c>
      <c r="C11" s="60" t="s">
        <v>8</v>
      </c>
      <c r="D11" s="23">
        <v>325809</v>
      </c>
      <c r="E11" s="3">
        <f>298953+10000+13500</f>
        <v>322453</v>
      </c>
      <c r="F11" s="3">
        <f>D11-E11</f>
        <v>3356</v>
      </c>
      <c r="G11" s="220">
        <f>D11+D12</f>
        <v>787363</v>
      </c>
      <c r="H11" s="220">
        <f>E11+E12</f>
        <v>440964</v>
      </c>
      <c r="I11" s="221">
        <f>G11-H11</f>
        <v>346399</v>
      </c>
      <c r="J11"/>
      <c r="K11"/>
      <c r="L11"/>
      <c r="M11"/>
      <c r="N11"/>
      <c r="O11"/>
      <c r="P11"/>
    </row>
    <row r="12" spans="1:16" s="1" customFormat="1" ht="15" thickBot="1" x14ac:dyDescent="0.35">
      <c r="A12" s="194"/>
      <c r="B12" s="197"/>
      <c r="C12" s="61" t="s">
        <v>9</v>
      </c>
      <c r="D12" s="22">
        <v>461554</v>
      </c>
      <c r="E12" s="2">
        <f>38500+74353+1717+3941</f>
        <v>118511</v>
      </c>
      <c r="F12" s="2">
        <f>D12-E12</f>
        <v>343043</v>
      </c>
      <c r="G12" s="198"/>
      <c r="H12" s="198"/>
      <c r="I12" s="200"/>
      <c r="J12"/>
      <c r="K12"/>
      <c r="L12"/>
      <c r="M12"/>
      <c r="N12"/>
      <c r="O12"/>
      <c r="P12"/>
    </row>
    <row r="13" spans="1:16" s="1" customFormat="1" x14ac:dyDescent="0.3">
      <c r="A13" s="219" t="s">
        <v>18</v>
      </c>
      <c r="B13" s="196">
        <v>45937</v>
      </c>
      <c r="C13" s="60" t="s">
        <v>8</v>
      </c>
      <c r="D13" s="23">
        <v>514435</v>
      </c>
      <c r="E13" s="3">
        <f>156262+10000+40000</f>
        <v>206262</v>
      </c>
      <c r="F13" s="3">
        <f t="shared" si="0"/>
        <v>308173</v>
      </c>
      <c r="G13" s="220">
        <f>D13+D14</f>
        <v>1044132</v>
      </c>
      <c r="H13" s="220">
        <f>E13+E14</f>
        <v>364172</v>
      </c>
      <c r="I13" s="221">
        <f>G13-H13</f>
        <v>679960</v>
      </c>
      <c r="K13"/>
      <c r="L13"/>
      <c r="M13"/>
      <c r="N13"/>
      <c r="O13"/>
      <c r="P13"/>
    </row>
    <row r="14" spans="1:16" s="1" customFormat="1" ht="15" thickBot="1" x14ac:dyDescent="0.35">
      <c r="A14" s="194"/>
      <c r="B14" s="197"/>
      <c r="C14" s="61" t="s">
        <v>9</v>
      </c>
      <c r="D14" s="22">
        <v>529697</v>
      </c>
      <c r="E14" s="2">
        <f>30510+37400+90000</f>
        <v>157910</v>
      </c>
      <c r="F14" s="2">
        <f t="shared" si="0"/>
        <v>371787</v>
      </c>
      <c r="G14" s="198"/>
      <c r="H14" s="198"/>
      <c r="I14" s="200"/>
      <c r="K14"/>
      <c r="L14"/>
      <c r="M14"/>
      <c r="N14"/>
      <c r="O14"/>
      <c r="P14"/>
    </row>
    <row r="15" spans="1:16" s="1" customFormat="1" ht="14.25" customHeight="1" x14ac:dyDescent="0.3">
      <c r="A15" s="219" t="s">
        <v>19</v>
      </c>
      <c r="B15" s="196">
        <v>45938</v>
      </c>
      <c r="C15" s="60" t="s">
        <v>8</v>
      </c>
      <c r="D15" s="23">
        <v>354425</v>
      </c>
      <c r="E15" s="3">
        <f>180179+16900+10000+91660</f>
        <v>298739</v>
      </c>
      <c r="F15" s="3">
        <f t="shared" si="0"/>
        <v>55686</v>
      </c>
      <c r="G15" s="220">
        <f>D15+D16</f>
        <v>972805</v>
      </c>
      <c r="H15" s="220">
        <f>E15+E16</f>
        <v>599595</v>
      </c>
      <c r="I15" s="221">
        <f>G15-H15</f>
        <v>373210</v>
      </c>
      <c r="J15"/>
      <c r="K15"/>
      <c r="L15"/>
      <c r="O15"/>
      <c r="P15"/>
    </row>
    <row r="16" spans="1:16" s="1" customFormat="1" ht="15" thickBot="1" x14ac:dyDescent="0.35">
      <c r="A16" s="194"/>
      <c r="B16" s="197"/>
      <c r="C16" s="61" t="s">
        <v>9</v>
      </c>
      <c r="D16" s="22">
        <v>618380</v>
      </c>
      <c r="E16" s="2">
        <f>295856+5000</f>
        <v>300856</v>
      </c>
      <c r="F16" s="2">
        <f t="shared" si="0"/>
        <v>317524</v>
      </c>
      <c r="G16" s="198"/>
      <c r="H16" s="198"/>
      <c r="I16" s="200"/>
      <c r="J16"/>
      <c r="K16"/>
      <c r="L16"/>
      <c r="O16"/>
      <c r="P16"/>
    </row>
    <row r="17" spans="1:20" s="1" customFormat="1" x14ac:dyDescent="0.3">
      <c r="A17" s="219" t="s">
        <v>15</v>
      </c>
      <c r="B17" s="196">
        <v>45939</v>
      </c>
      <c r="C17" s="60" t="s">
        <v>8</v>
      </c>
      <c r="D17" s="23">
        <v>503888</v>
      </c>
      <c r="E17" s="3">
        <f>325514+10000+42350</f>
        <v>377864</v>
      </c>
      <c r="F17" s="3">
        <f>D17-E17</f>
        <v>126024</v>
      </c>
      <c r="G17" s="220">
        <f>D17+D18</f>
        <v>990097</v>
      </c>
      <c r="H17" s="220">
        <f>E17+E18</f>
        <v>749864</v>
      </c>
      <c r="I17" s="221">
        <f>G17-H17</f>
        <v>240233</v>
      </c>
      <c r="J17" s="248" t="s">
        <v>42</v>
      </c>
      <c r="K17"/>
      <c r="L17"/>
      <c r="O17"/>
      <c r="P17"/>
    </row>
    <row r="18" spans="1:20" s="1" customFormat="1" ht="15" thickBot="1" x14ac:dyDescent="0.35">
      <c r="A18" s="194"/>
      <c r="B18" s="197"/>
      <c r="C18" s="61" t="s">
        <v>9</v>
      </c>
      <c r="D18" s="22">
        <v>486209</v>
      </c>
      <c r="E18" s="2">
        <f>53500+123500+30000+160000+5000</f>
        <v>372000</v>
      </c>
      <c r="F18" s="2">
        <f>D18-E18</f>
        <v>114209</v>
      </c>
      <c r="G18" s="198"/>
      <c r="H18" s="198"/>
      <c r="I18" s="200"/>
      <c r="J18" s="249"/>
      <c r="K18"/>
      <c r="L18"/>
      <c r="M18"/>
      <c r="N18"/>
      <c r="O18"/>
      <c r="P18"/>
    </row>
    <row r="19" spans="1:20" x14ac:dyDescent="0.3">
      <c r="A19" s="219" t="s">
        <v>16</v>
      </c>
      <c r="B19" s="196">
        <v>45940</v>
      </c>
      <c r="C19" s="60" t="s">
        <v>8</v>
      </c>
      <c r="D19" s="23">
        <v>207561</v>
      </c>
      <c r="E19" s="3">
        <f>19710+16000+100000</f>
        <v>135710</v>
      </c>
      <c r="F19" s="3">
        <f>D19-E19</f>
        <v>71851</v>
      </c>
      <c r="G19" s="220">
        <f>D19+D20</f>
        <v>417569</v>
      </c>
      <c r="H19" s="220">
        <f>E19+E20</f>
        <v>562136</v>
      </c>
      <c r="I19" s="221">
        <f>G19-H19</f>
        <v>-144567</v>
      </c>
    </row>
    <row r="20" spans="1:20" ht="15" thickBot="1" x14ac:dyDescent="0.35">
      <c r="A20" s="194"/>
      <c r="B20" s="197"/>
      <c r="C20" s="61" t="s">
        <v>9</v>
      </c>
      <c r="D20" s="22">
        <v>210008</v>
      </c>
      <c r="E20" s="2">
        <f>224776+201650</f>
        <v>426426</v>
      </c>
      <c r="F20" s="2">
        <f>D20-E20</f>
        <v>-216418</v>
      </c>
      <c r="G20" s="198"/>
      <c r="H20" s="198"/>
      <c r="I20" s="200"/>
    </row>
    <row r="21" spans="1:20" x14ac:dyDescent="0.3">
      <c r="A21" s="202" t="s">
        <v>13</v>
      </c>
      <c r="B21" s="204">
        <v>45941</v>
      </c>
      <c r="C21" s="77" t="s">
        <v>8</v>
      </c>
      <c r="D21" s="35">
        <v>156501</v>
      </c>
      <c r="E21" s="36">
        <f>5000+171575</f>
        <v>176575</v>
      </c>
      <c r="F21" s="36">
        <f t="shared" si="0"/>
        <v>-20074</v>
      </c>
      <c r="G21" s="206">
        <f>D21+D22</f>
        <v>597055</v>
      </c>
      <c r="H21" s="206">
        <f>E21+E22</f>
        <v>348966</v>
      </c>
      <c r="I21" s="208">
        <f>G21-H21</f>
        <v>248089</v>
      </c>
    </row>
    <row r="22" spans="1:20" ht="15" thickBot="1" x14ac:dyDescent="0.35">
      <c r="A22" s="203"/>
      <c r="B22" s="280"/>
      <c r="C22" s="78" t="s">
        <v>9</v>
      </c>
      <c r="D22" s="37">
        <v>440554</v>
      </c>
      <c r="E22" s="38">
        <v>172391</v>
      </c>
      <c r="F22" s="38">
        <f t="shared" si="0"/>
        <v>268163</v>
      </c>
      <c r="G22" s="207"/>
      <c r="H22" s="207"/>
      <c r="I22" s="209"/>
    </row>
    <row r="23" spans="1:20" x14ac:dyDescent="0.3">
      <c r="A23" s="226" t="s">
        <v>17</v>
      </c>
      <c r="B23" s="227">
        <v>45943</v>
      </c>
      <c r="C23" s="76" t="s">
        <v>8</v>
      </c>
      <c r="D23" s="30">
        <v>231210</v>
      </c>
      <c r="E23" s="11">
        <f>10000+305689</f>
        <v>315689</v>
      </c>
      <c r="F23" s="11">
        <f t="shared" si="0"/>
        <v>-84479</v>
      </c>
      <c r="G23" s="224">
        <f>D23+D24</f>
        <v>746277</v>
      </c>
      <c r="H23" s="224">
        <f>E23+E24</f>
        <v>568805</v>
      </c>
      <c r="I23" s="228">
        <f>G23-H23</f>
        <v>177472</v>
      </c>
    </row>
    <row r="24" spans="1:20" ht="15" thickBot="1" x14ac:dyDescent="0.35">
      <c r="A24" s="222"/>
      <c r="B24" s="197"/>
      <c r="C24" s="62" t="s">
        <v>9</v>
      </c>
      <c r="D24" s="27">
        <v>515067</v>
      </c>
      <c r="E24" s="10">
        <f>18600+68716+6800+50000+109000</f>
        <v>253116</v>
      </c>
      <c r="F24" s="10">
        <f t="shared" si="0"/>
        <v>261951</v>
      </c>
      <c r="G24" s="223"/>
      <c r="H24" s="223"/>
      <c r="I24" s="225"/>
      <c r="S24" s="85"/>
      <c r="T24" t="s">
        <v>52</v>
      </c>
    </row>
    <row r="25" spans="1:20" x14ac:dyDescent="0.3">
      <c r="A25" s="226" t="s">
        <v>18</v>
      </c>
      <c r="B25" s="227">
        <v>45944</v>
      </c>
      <c r="C25" s="76" t="s">
        <v>8</v>
      </c>
      <c r="D25" s="30">
        <v>354727</v>
      </c>
      <c r="E25" s="11">
        <f>324561+65700</f>
        <v>390261</v>
      </c>
      <c r="F25" s="11">
        <f>D25-E25</f>
        <v>-35534</v>
      </c>
      <c r="G25" s="224">
        <f>D25+D26</f>
        <v>821147</v>
      </c>
      <c r="H25" s="224">
        <f>E25+E26</f>
        <v>539385</v>
      </c>
      <c r="I25" s="228">
        <f>G25-H25</f>
        <v>281762</v>
      </c>
      <c r="S25" s="43"/>
      <c r="T25" t="s">
        <v>41</v>
      </c>
    </row>
    <row r="26" spans="1:20" ht="15" thickBot="1" x14ac:dyDescent="0.35">
      <c r="A26" s="222"/>
      <c r="B26" s="197"/>
      <c r="C26" s="62" t="s">
        <v>9</v>
      </c>
      <c r="D26" s="27">
        <v>466420</v>
      </c>
      <c r="E26" s="10">
        <f>10000+43124+70000+26000</f>
        <v>149124</v>
      </c>
      <c r="F26" s="10">
        <f>D26-E26</f>
        <v>317296</v>
      </c>
      <c r="G26" s="223"/>
      <c r="H26" s="223"/>
      <c r="I26" s="225"/>
    </row>
    <row r="27" spans="1:20" x14ac:dyDescent="0.3">
      <c r="A27" s="226" t="s">
        <v>14</v>
      </c>
      <c r="B27" s="227">
        <v>45945</v>
      </c>
      <c r="C27" s="76" t="s">
        <v>8</v>
      </c>
      <c r="D27" s="30">
        <v>434340</v>
      </c>
      <c r="E27" s="11">
        <f>302730+10000</f>
        <v>312730</v>
      </c>
      <c r="F27" s="11">
        <f>D27-E27</f>
        <v>121610</v>
      </c>
      <c r="G27" s="224">
        <f>D27+D28</f>
        <v>866467</v>
      </c>
      <c r="H27" s="224">
        <f>E27+E28</f>
        <v>442369</v>
      </c>
      <c r="I27" s="228">
        <f>G27-H27</f>
        <v>424098</v>
      </c>
    </row>
    <row r="28" spans="1:20" ht="15" thickBot="1" x14ac:dyDescent="0.35">
      <c r="A28" s="222"/>
      <c r="B28" s="197"/>
      <c r="C28" s="62" t="s">
        <v>9</v>
      </c>
      <c r="D28" s="27">
        <v>432127</v>
      </c>
      <c r="E28" s="10">
        <f>21039+18600+90000</f>
        <v>129639</v>
      </c>
      <c r="F28" s="10">
        <f>D28-E28</f>
        <v>302488</v>
      </c>
      <c r="G28" s="223"/>
      <c r="H28" s="223"/>
      <c r="I28" s="225"/>
    </row>
    <row r="29" spans="1:20" s="1" customFormat="1" x14ac:dyDescent="0.3">
      <c r="A29" s="194" t="s">
        <v>15</v>
      </c>
      <c r="B29" s="227">
        <v>45946</v>
      </c>
      <c r="C29" s="61" t="s">
        <v>8</v>
      </c>
      <c r="D29" s="22">
        <v>494004</v>
      </c>
      <c r="E29" s="11">
        <f>170669+7500</f>
        <v>178169</v>
      </c>
      <c r="F29" s="2">
        <f t="shared" ref="F29:F36" si="1">D29-E29</f>
        <v>315835</v>
      </c>
      <c r="G29" s="198">
        <f>D29+D30</f>
        <v>1036836</v>
      </c>
      <c r="H29" s="198">
        <f>E29+E30</f>
        <v>369563</v>
      </c>
      <c r="I29" s="200">
        <f>G29-H29</f>
        <v>667273</v>
      </c>
      <c r="J29"/>
      <c r="K29"/>
      <c r="L29"/>
      <c r="O29"/>
      <c r="P29"/>
    </row>
    <row r="30" spans="1:20" s="1" customFormat="1" ht="15" thickBot="1" x14ac:dyDescent="0.35">
      <c r="A30" s="194"/>
      <c r="B30" s="197"/>
      <c r="C30" s="61" t="s">
        <v>9</v>
      </c>
      <c r="D30" s="22">
        <v>542832</v>
      </c>
      <c r="E30" s="10">
        <f>37400+44894+59100+50000</f>
        <v>191394</v>
      </c>
      <c r="F30" s="2">
        <f t="shared" si="1"/>
        <v>351438</v>
      </c>
      <c r="G30" s="198"/>
      <c r="H30" s="198"/>
      <c r="I30" s="200"/>
      <c r="J30"/>
      <c r="K30"/>
      <c r="L30"/>
      <c r="O30"/>
      <c r="P30"/>
    </row>
    <row r="31" spans="1:20" x14ac:dyDescent="0.3">
      <c r="A31" s="194" t="s">
        <v>16</v>
      </c>
      <c r="B31" s="227">
        <v>45947</v>
      </c>
      <c r="C31" s="61" t="s">
        <v>8</v>
      </c>
      <c r="D31" s="22">
        <v>522763</v>
      </c>
      <c r="E31" s="2">
        <f>171182+10000+46972+14100+82000+19500+3950+49500+15000</f>
        <v>412204</v>
      </c>
      <c r="F31" s="2">
        <f t="shared" si="1"/>
        <v>110559</v>
      </c>
      <c r="G31" s="198">
        <f>D31+D32</f>
        <v>1167053</v>
      </c>
      <c r="H31" s="198">
        <f>E31+E32</f>
        <v>780704</v>
      </c>
      <c r="I31" s="200">
        <f>G31-H31</f>
        <v>386349</v>
      </c>
    </row>
    <row r="32" spans="1:20" ht="15" thickBot="1" x14ac:dyDescent="0.35">
      <c r="A32" s="222"/>
      <c r="B32" s="197"/>
      <c r="C32" s="62" t="s">
        <v>9</v>
      </c>
      <c r="D32" s="27">
        <v>644290</v>
      </c>
      <c r="E32" s="10">
        <f>306500+30000+32000</f>
        <v>368500</v>
      </c>
      <c r="F32" s="10">
        <f t="shared" si="1"/>
        <v>275790</v>
      </c>
      <c r="G32" s="223"/>
      <c r="H32" s="223"/>
      <c r="I32" s="225"/>
    </row>
    <row r="33" spans="1:16" x14ac:dyDescent="0.3">
      <c r="A33" s="317" t="s">
        <v>13</v>
      </c>
      <c r="B33" s="319">
        <v>45948</v>
      </c>
      <c r="C33" s="109" t="s">
        <v>8</v>
      </c>
      <c r="D33" s="110">
        <v>221409</v>
      </c>
      <c r="E33" s="111">
        <v>5000</v>
      </c>
      <c r="F33" s="111">
        <f t="shared" si="1"/>
        <v>216409</v>
      </c>
      <c r="G33" s="321">
        <f>D33+D34</f>
        <v>509832</v>
      </c>
      <c r="H33" s="346">
        <f>E33+E34</f>
        <v>40000</v>
      </c>
      <c r="I33" s="323">
        <f>G33-H33</f>
        <v>469832</v>
      </c>
    </row>
    <row r="34" spans="1:16" ht="15" thickBot="1" x14ac:dyDescent="0.35">
      <c r="A34" s="318"/>
      <c r="B34" s="320"/>
      <c r="C34" s="112" t="s">
        <v>9</v>
      </c>
      <c r="D34" s="113">
        <v>288423</v>
      </c>
      <c r="E34" s="114">
        <v>35000</v>
      </c>
      <c r="F34" s="114">
        <f t="shared" si="1"/>
        <v>253423</v>
      </c>
      <c r="G34" s="322"/>
      <c r="H34" s="347"/>
      <c r="I34" s="324"/>
    </row>
    <row r="35" spans="1:16" x14ac:dyDescent="0.3">
      <c r="A35" s="226" t="s">
        <v>17</v>
      </c>
      <c r="B35" s="227">
        <v>45950</v>
      </c>
      <c r="C35" s="76" t="s">
        <v>8</v>
      </c>
      <c r="D35" s="30">
        <v>244809</v>
      </c>
      <c r="E35" s="11">
        <f>10000+10000+43124+40500</f>
        <v>103624</v>
      </c>
      <c r="F35" s="11">
        <f t="shared" si="1"/>
        <v>141185</v>
      </c>
      <c r="G35" s="224">
        <f>D35+D36</f>
        <v>609357</v>
      </c>
      <c r="H35" s="224">
        <f>E35+E36</f>
        <v>382026</v>
      </c>
      <c r="I35" s="228">
        <f>G35-H35</f>
        <v>227331</v>
      </c>
    </row>
    <row r="36" spans="1:16" ht="15" thickBot="1" x14ac:dyDescent="0.35">
      <c r="A36" s="222"/>
      <c r="B36" s="197"/>
      <c r="C36" s="62" t="s">
        <v>9</v>
      </c>
      <c r="D36" s="27">
        <v>364548</v>
      </c>
      <c r="E36" s="10">
        <f>278402</f>
        <v>278402</v>
      </c>
      <c r="F36" s="10">
        <f t="shared" si="1"/>
        <v>86146</v>
      </c>
      <c r="G36" s="223"/>
      <c r="H36" s="223"/>
      <c r="I36" s="225"/>
    </row>
    <row r="37" spans="1:16" x14ac:dyDescent="0.3">
      <c r="A37" s="226" t="s">
        <v>18</v>
      </c>
      <c r="B37" s="227">
        <v>45951</v>
      </c>
      <c r="C37" s="76" t="s">
        <v>8</v>
      </c>
      <c r="D37" s="30">
        <v>419906</v>
      </c>
      <c r="E37" s="11">
        <f>206770</f>
        <v>206770</v>
      </c>
      <c r="F37" s="11">
        <f>D37-E37</f>
        <v>213136</v>
      </c>
      <c r="G37" s="224">
        <f>D37+D38</f>
        <v>764273</v>
      </c>
      <c r="H37" s="224">
        <f>E37+E38</f>
        <v>293935</v>
      </c>
      <c r="I37" s="228">
        <f>G37-H37</f>
        <v>470338</v>
      </c>
    </row>
    <row r="38" spans="1:16" ht="15" thickBot="1" x14ac:dyDescent="0.35">
      <c r="A38" s="222"/>
      <c r="B38" s="197"/>
      <c r="C38" s="62" t="s">
        <v>9</v>
      </c>
      <c r="D38" s="27">
        <v>344367</v>
      </c>
      <c r="E38" s="10">
        <f>66565+5000+15600</f>
        <v>87165</v>
      </c>
      <c r="F38" s="10">
        <f>D38-E38</f>
        <v>257202</v>
      </c>
      <c r="G38" s="223"/>
      <c r="H38" s="223"/>
      <c r="I38" s="225"/>
      <c r="M38" s="13" t="s">
        <v>2</v>
      </c>
      <c r="N38" s="12">
        <v>1</v>
      </c>
    </row>
    <row r="39" spans="1:16" x14ac:dyDescent="0.3">
      <c r="A39" s="226" t="s">
        <v>14</v>
      </c>
      <c r="B39" s="227">
        <v>45952</v>
      </c>
      <c r="C39" s="76" t="s">
        <v>8</v>
      </c>
      <c r="D39" s="30">
        <v>324272</v>
      </c>
      <c r="E39" s="11">
        <f>13800+5000+75000+75000</f>
        <v>168800</v>
      </c>
      <c r="F39" s="11">
        <f>D39-E39</f>
        <v>155472</v>
      </c>
      <c r="G39" s="224">
        <f>D39+D40</f>
        <v>733852</v>
      </c>
      <c r="H39" s="224">
        <f>E39+E40</f>
        <v>360086</v>
      </c>
      <c r="I39" s="228">
        <f>G39-H39</f>
        <v>373766</v>
      </c>
      <c r="M39" s="14" t="s">
        <v>11</v>
      </c>
      <c r="N39" s="17">
        <f>H57*100/G57/100</f>
        <v>0.60625228724521552</v>
      </c>
    </row>
    <row r="40" spans="1:16" ht="15" thickBot="1" x14ac:dyDescent="0.35">
      <c r="A40" s="222"/>
      <c r="B40" s="197"/>
      <c r="C40" s="62" t="s">
        <v>9</v>
      </c>
      <c r="D40" s="27">
        <v>409580</v>
      </c>
      <c r="E40" s="10">
        <f>191286</f>
        <v>191286</v>
      </c>
      <c r="F40" s="10">
        <f>D40-E40</f>
        <v>218294</v>
      </c>
      <c r="G40" s="223"/>
      <c r="H40" s="223"/>
      <c r="I40" s="225"/>
      <c r="M40" s="15" t="s">
        <v>3</v>
      </c>
      <c r="N40" s="16">
        <f>(100%-N39)</f>
        <v>0.39374771275478448</v>
      </c>
    </row>
    <row r="41" spans="1:16" s="1" customFormat="1" x14ac:dyDescent="0.3">
      <c r="A41" s="194" t="s">
        <v>15</v>
      </c>
      <c r="B41" s="227">
        <v>45953</v>
      </c>
      <c r="C41" s="61" t="s">
        <v>8</v>
      </c>
      <c r="D41" s="22">
        <v>350556</v>
      </c>
      <c r="E41" s="2">
        <f>195279+5000+64163+64370+90000</f>
        <v>418812</v>
      </c>
      <c r="F41" s="2">
        <f t="shared" ref="F41:F48" si="2">D41-E41</f>
        <v>-68256</v>
      </c>
      <c r="G41" s="198">
        <f>D41+D42</f>
        <v>714014</v>
      </c>
      <c r="H41" s="198">
        <f>E41+E42</f>
        <v>713812</v>
      </c>
      <c r="I41" s="200">
        <f>G41-H41</f>
        <v>202</v>
      </c>
      <c r="J41"/>
      <c r="K41"/>
      <c r="L41"/>
      <c r="M41"/>
      <c r="N41"/>
      <c r="O41"/>
      <c r="P41"/>
    </row>
    <row r="42" spans="1:16" s="1" customFormat="1" x14ac:dyDescent="0.3">
      <c r="A42" s="194"/>
      <c r="B42" s="197"/>
      <c r="C42" s="61" t="s">
        <v>9</v>
      </c>
      <c r="D42" s="22">
        <v>363458</v>
      </c>
      <c r="E42" s="2">
        <f>10000+5000+280000</f>
        <v>295000</v>
      </c>
      <c r="F42" s="2">
        <f t="shared" si="2"/>
        <v>68458</v>
      </c>
      <c r="G42" s="198"/>
      <c r="H42" s="198"/>
      <c r="I42" s="200"/>
      <c r="J42"/>
      <c r="K42"/>
      <c r="L42"/>
      <c r="M42"/>
      <c r="N42"/>
      <c r="O42"/>
      <c r="P42"/>
    </row>
    <row r="43" spans="1:16" x14ac:dyDescent="0.3">
      <c r="A43" s="194" t="s">
        <v>16</v>
      </c>
      <c r="B43" s="227">
        <v>45954</v>
      </c>
      <c r="C43" s="61" t="s">
        <v>8</v>
      </c>
      <c r="D43" s="22">
        <v>464720</v>
      </c>
      <c r="E43" s="2">
        <f>43756+255428+20500</f>
        <v>319684</v>
      </c>
      <c r="F43" s="2">
        <f t="shared" si="2"/>
        <v>145036</v>
      </c>
      <c r="G43" s="198">
        <f>D43+D44</f>
        <v>1019191</v>
      </c>
      <c r="H43" s="198">
        <f>E43+E44</f>
        <v>644555</v>
      </c>
      <c r="I43" s="200">
        <f>G43-H43</f>
        <v>374636</v>
      </c>
    </row>
    <row r="44" spans="1:16" ht="15" thickBot="1" x14ac:dyDescent="0.35">
      <c r="A44" s="222"/>
      <c r="B44" s="197"/>
      <c r="C44" s="62" t="s">
        <v>9</v>
      </c>
      <c r="D44" s="27">
        <v>554471</v>
      </c>
      <c r="E44" s="10">
        <f>169400+9800+37400+39071+69200</f>
        <v>324871</v>
      </c>
      <c r="F44" s="10">
        <f t="shared" si="2"/>
        <v>229600</v>
      </c>
      <c r="G44" s="223"/>
      <c r="H44" s="223"/>
      <c r="I44" s="225"/>
    </row>
    <row r="45" spans="1:16" ht="15" thickBot="1" x14ac:dyDescent="0.35">
      <c r="A45" s="202" t="s">
        <v>13</v>
      </c>
      <c r="B45" s="265">
        <v>45955</v>
      </c>
      <c r="C45" s="77" t="s">
        <v>8</v>
      </c>
      <c r="D45" s="35">
        <v>348558</v>
      </c>
      <c r="E45" s="36">
        <f>5000</f>
        <v>5000</v>
      </c>
      <c r="F45" s="36">
        <f t="shared" si="2"/>
        <v>343558</v>
      </c>
      <c r="G45" s="206">
        <f>D45+D46</f>
        <v>746672</v>
      </c>
      <c r="H45" s="206">
        <f>E45+E46</f>
        <v>442759</v>
      </c>
      <c r="I45" s="208">
        <f>G45-H45</f>
        <v>303913</v>
      </c>
    </row>
    <row r="46" spans="1:16" ht="15" thickBot="1" x14ac:dyDescent="0.35">
      <c r="A46" s="203"/>
      <c r="B46" s="264"/>
      <c r="C46" s="78" t="s">
        <v>9</v>
      </c>
      <c r="D46" s="35">
        <v>398114</v>
      </c>
      <c r="E46" s="38">
        <f>147025+193900+96834</f>
        <v>437759</v>
      </c>
      <c r="F46" s="38">
        <f t="shared" si="2"/>
        <v>-39645</v>
      </c>
      <c r="G46" s="207"/>
      <c r="H46" s="207"/>
      <c r="I46" s="209"/>
    </row>
    <row r="47" spans="1:16" ht="15" customHeight="1" x14ac:dyDescent="0.3">
      <c r="A47" s="226" t="s">
        <v>17</v>
      </c>
      <c r="B47" s="227">
        <v>45957</v>
      </c>
      <c r="C47" s="76" t="s">
        <v>8</v>
      </c>
      <c r="D47" s="30">
        <v>530330</v>
      </c>
      <c r="E47" s="11">
        <f>10000+30649+217220+138000</f>
        <v>395869</v>
      </c>
      <c r="F47" s="11">
        <f t="shared" si="2"/>
        <v>134461</v>
      </c>
      <c r="G47" s="224">
        <f>D47+D48</f>
        <v>1210059</v>
      </c>
      <c r="H47" s="224">
        <f>E47+E48</f>
        <v>941410</v>
      </c>
      <c r="I47" s="228">
        <f>G47-H47</f>
        <v>268649</v>
      </c>
    </row>
    <row r="48" spans="1:16" ht="15" thickBot="1" x14ac:dyDescent="0.35">
      <c r="A48" s="222"/>
      <c r="B48" s="197"/>
      <c r="C48" s="62" t="s">
        <v>9</v>
      </c>
      <c r="D48" s="27">
        <v>679729</v>
      </c>
      <c r="E48" s="10">
        <f>17600+69000+13000+2700+443241</f>
        <v>545541</v>
      </c>
      <c r="F48" s="10">
        <f t="shared" si="2"/>
        <v>134188</v>
      </c>
      <c r="G48" s="223"/>
      <c r="H48" s="223"/>
      <c r="I48" s="225"/>
    </row>
    <row r="49" spans="1:16" x14ac:dyDescent="0.3">
      <c r="A49" s="226" t="s">
        <v>18</v>
      </c>
      <c r="B49" s="227">
        <v>45958</v>
      </c>
      <c r="C49" s="76" t="s">
        <v>8</v>
      </c>
      <c r="D49" s="30">
        <v>583974</v>
      </c>
      <c r="E49" s="11">
        <f>10000+58000+20800+59240+330093</f>
        <v>478133</v>
      </c>
      <c r="F49" s="11">
        <f t="shared" ref="F49:F56" si="3">D49-E49</f>
        <v>105841</v>
      </c>
      <c r="G49" s="224">
        <f>D49+D50</f>
        <v>1211365</v>
      </c>
      <c r="H49" s="224">
        <f>E49+E50</f>
        <v>761133</v>
      </c>
      <c r="I49" s="228">
        <f>G49-H49</f>
        <v>450232</v>
      </c>
    </row>
    <row r="50" spans="1:16" ht="15" thickBot="1" x14ac:dyDescent="0.35">
      <c r="A50" s="222"/>
      <c r="B50" s="197"/>
      <c r="C50" s="62" t="s">
        <v>9</v>
      </c>
      <c r="D50" s="27">
        <v>627391</v>
      </c>
      <c r="E50" s="10">
        <f>223000+60000</f>
        <v>283000</v>
      </c>
      <c r="F50" s="10">
        <f t="shared" si="3"/>
        <v>344391</v>
      </c>
      <c r="G50" s="223"/>
      <c r="H50" s="223"/>
      <c r="I50" s="225"/>
    </row>
    <row r="51" spans="1:16" x14ac:dyDescent="0.3">
      <c r="A51" s="226" t="s">
        <v>14</v>
      </c>
      <c r="B51" s="227">
        <v>45959</v>
      </c>
      <c r="C51" s="76" t="s">
        <v>8</v>
      </c>
      <c r="D51" s="30">
        <v>435979</v>
      </c>
      <c r="E51" s="11">
        <f>81000+233348</f>
        <v>314348</v>
      </c>
      <c r="F51" s="11">
        <f t="shared" si="3"/>
        <v>121631</v>
      </c>
      <c r="G51" s="224">
        <f>D51+D52</f>
        <v>836802</v>
      </c>
      <c r="H51" s="224">
        <f>E51+E52</f>
        <v>473965</v>
      </c>
      <c r="I51" s="228">
        <f>G51-H51</f>
        <v>362837</v>
      </c>
    </row>
    <row r="52" spans="1:16" ht="15" thickBot="1" x14ac:dyDescent="0.35">
      <c r="A52" s="222"/>
      <c r="B52" s="197"/>
      <c r="C52" s="62" t="s">
        <v>9</v>
      </c>
      <c r="D52" s="27">
        <v>400823</v>
      </c>
      <c r="E52" s="10">
        <f>10000+70017+37400+30000+12200</f>
        <v>159617</v>
      </c>
      <c r="F52" s="10">
        <f t="shared" si="3"/>
        <v>241206</v>
      </c>
      <c r="G52" s="223"/>
      <c r="H52" s="223"/>
      <c r="I52" s="225"/>
    </row>
    <row r="53" spans="1:16" s="1" customFormat="1" x14ac:dyDescent="0.3">
      <c r="A53" s="194" t="s">
        <v>15</v>
      </c>
      <c r="B53" s="227">
        <v>45960</v>
      </c>
      <c r="C53" s="61" t="s">
        <v>8</v>
      </c>
      <c r="D53" s="22">
        <v>428719</v>
      </c>
      <c r="E53" s="2">
        <f>243143+5000</f>
        <v>248143</v>
      </c>
      <c r="F53" s="2">
        <f t="shared" si="3"/>
        <v>180576</v>
      </c>
      <c r="G53" s="198">
        <f>D53+D54</f>
        <v>936132</v>
      </c>
      <c r="H53" s="198">
        <f>E53+E54</f>
        <v>491243</v>
      </c>
      <c r="I53" s="200">
        <f>G53-H53</f>
        <v>444889</v>
      </c>
      <c r="J53"/>
      <c r="K53"/>
      <c r="L53"/>
      <c r="M53"/>
      <c r="N53"/>
      <c r="O53"/>
      <c r="P53"/>
    </row>
    <row r="54" spans="1:16" s="1" customFormat="1" x14ac:dyDescent="0.3">
      <c r="A54" s="194"/>
      <c r="B54" s="197"/>
      <c r="C54" s="61" t="s">
        <v>9</v>
      </c>
      <c r="D54" s="22">
        <v>507413</v>
      </c>
      <c r="E54" s="2">
        <f>99600+75000+68500</f>
        <v>243100</v>
      </c>
      <c r="F54" s="2">
        <f t="shared" si="3"/>
        <v>264313</v>
      </c>
      <c r="G54" s="198"/>
      <c r="H54" s="198"/>
      <c r="I54" s="200"/>
      <c r="J54"/>
      <c r="K54"/>
      <c r="L54"/>
      <c r="M54"/>
      <c r="N54"/>
      <c r="O54"/>
      <c r="P54"/>
    </row>
    <row r="55" spans="1:16" x14ac:dyDescent="0.3">
      <c r="A55" s="194" t="s">
        <v>16</v>
      </c>
      <c r="B55" s="227">
        <v>45961</v>
      </c>
      <c r="C55" s="61" t="s">
        <v>8</v>
      </c>
      <c r="D55" s="22">
        <v>346547</v>
      </c>
      <c r="E55" s="2">
        <f>141623+5000+94386</f>
        <v>241009</v>
      </c>
      <c r="F55" s="2">
        <f t="shared" si="3"/>
        <v>105538</v>
      </c>
      <c r="G55" s="198">
        <f>D55+D56</f>
        <v>746601</v>
      </c>
      <c r="H55" s="198">
        <f>E55+E56</f>
        <v>524009</v>
      </c>
      <c r="I55" s="200">
        <f>G55-H55</f>
        <v>222592</v>
      </c>
    </row>
    <row r="56" spans="1:16" ht="15" thickBot="1" x14ac:dyDescent="0.35">
      <c r="A56" s="222"/>
      <c r="B56" s="197"/>
      <c r="C56" s="62" t="s">
        <v>9</v>
      </c>
      <c r="D56" s="27">
        <v>400054</v>
      </c>
      <c r="E56" s="10">
        <f>191000+92000</f>
        <v>283000</v>
      </c>
      <c r="F56" s="10">
        <f t="shared" si="3"/>
        <v>117054</v>
      </c>
      <c r="G56" s="223"/>
      <c r="H56" s="223"/>
      <c r="I56" s="225"/>
    </row>
    <row r="57" spans="1:16" s="1" customFormat="1" ht="15" thickBot="1" x14ac:dyDescent="0.35">
      <c r="A57"/>
      <c r="B57" s="277" t="s">
        <v>10</v>
      </c>
      <c r="C57" s="278"/>
      <c r="D57" s="50">
        <f t="shared" ref="D57:I57" si="4">SUM(D3:D56)</f>
        <v>22846807</v>
      </c>
      <c r="E57" s="50">
        <f t="shared" si="4"/>
        <v>13850929</v>
      </c>
      <c r="F57" s="50">
        <f t="shared" si="4"/>
        <v>8995878</v>
      </c>
      <c r="G57" s="50">
        <f t="shared" si="4"/>
        <v>22846807</v>
      </c>
      <c r="H57" s="50">
        <f t="shared" si="4"/>
        <v>13850929</v>
      </c>
      <c r="I57" s="50">
        <f t="shared" si="4"/>
        <v>8995878</v>
      </c>
      <c r="J57"/>
      <c r="K57" s="39"/>
      <c r="L57"/>
      <c r="M57"/>
      <c r="N57"/>
      <c r="O57"/>
      <c r="P57"/>
    </row>
    <row r="58" spans="1:16" s="1" customFormat="1" x14ac:dyDescent="0.3">
      <c r="A58"/>
      <c r="J58"/>
      <c r="K58" s="39"/>
      <c r="L58"/>
      <c r="M58"/>
      <c r="N58"/>
      <c r="O58"/>
      <c r="P58"/>
    </row>
    <row r="59" spans="1:16" s="1" customFormat="1" x14ac:dyDescent="0.3">
      <c r="A59"/>
      <c r="J59"/>
      <c r="K59" s="39"/>
      <c r="L59"/>
      <c r="M59"/>
      <c r="N59"/>
      <c r="O59"/>
      <c r="P59"/>
    </row>
    <row r="60" spans="1:16" s="1" customFormat="1" x14ac:dyDescent="0.3">
      <c r="A60"/>
      <c r="J60"/>
      <c r="K60" s="39"/>
      <c r="L60"/>
      <c r="M60"/>
      <c r="N60"/>
      <c r="O60"/>
      <c r="P60"/>
    </row>
    <row r="61" spans="1:16" x14ac:dyDescent="0.3">
      <c r="K61" s="39"/>
    </row>
    <row r="62" spans="1:16" x14ac:dyDescent="0.3">
      <c r="D62" s="20" t="s">
        <v>21</v>
      </c>
      <c r="E62" s="2">
        <f>MAXA(D3:D46)</f>
        <v>644290</v>
      </c>
      <c r="F62" s="283">
        <v>45751</v>
      </c>
      <c r="G62" s="187"/>
      <c r="K62" s="39"/>
    </row>
    <row r="63" spans="1:16" x14ac:dyDescent="0.3">
      <c r="D63" s="21" t="s">
        <v>22</v>
      </c>
      <c r="E63" s="2">
        <f>IF(MINA(D3:D36)&lt;&gt;0, MINA(D3:D14))</f>
        <v>255192</v>
      </c>
      <c r="F63" s="283">
        <v>45749</v>
      </c>
      <c r="G63" s="187"/>
      <c r="K63" s="39"/>
    </row>
    <row r="64" spans="1:16" s="1" customFormat="1" x14ac:dyDescent="0.3">
      <c r="A64"/>
      <c r="C64" s="1" t="s">
        <v>20</v>
      </c>
      <c r="J64"/>
      <c r="K64"/>
      <c r="L64"/>
      <c r="M64"/>
      <c r="N64"/>
    </row>
    <row r="65" spans="1:17" x14ac:dyDescent="0.3">
      <c r="D65" s="192" t="s">
        <v>36</v>
      </c>
      <c r="E65" s="18" t="e">
        <f>AVERAGEA(#REF!)</f>
        <v>#REF!</v>
      </c>
      <c r="F65" s="187" t="s">
        <v>23</v>
      </c>
      <c r="G65" s="187"/>
      <c r="I65" s="193" t="s">
        <v>37</v>
      </c>
      <c r="J65" s="18" t="e">
        <f>AVERAGEA(#REF!)</f>
        <v>#REF!</v>
      </c>
      <c r="K65" s="187" t="s">
        <v>23</v>
      </c>
      <c r="L65" s="187"/>
      <c r="N65" s="188" t="s">
        <v>38</v>
      </c>
      <c r="O65" s="18" t="e">
        <f>AVERAGEA(#REF!)</f>
        <v>#REF!</v>
      </c>
      <c r="P65" s="187" t="s">
        <v>23</v>
      </c>
      <c r="Q65" s="187"/>
    </row>
    <row r="66" spans="1:17" x14ac:dyDescent="0.3">
      <c r="D66" s="192"/>
      <c r="E66" s="18">
        <f>AVERAGEA(G3:G10)</f>
        <v>840464</v>
      </c>
      <c r="F66" s="187" t="s">
        <v>24</v>
      </c>
      <c r="G66" s="187"/>
      <c r="I66" s="193"/>
      <c r="J66" s="18">
        <f>AVERAGEA(H3:H10)</f>
        <v>503868.25</v>
      </c>
      <c r="K66" s="187" t="s">
        <v>24</v>
      </c>
      <c r="L66" s="187"/>
      <c r="N66" s="188"/>
      <c r="O66" s="18">
        <f>AVERAGEA(F3:F10)</f>
        <v>168297.875</v>
      </c>
      <c r="P66" s="187" t="s">
        <v>24</v>
      </c>
      <c r="Q66" s="187"/>
    </row>
    <row r="67" spans="1:17" x14ac:dyDescent="0.3">
      <c r="D67" s="192"/>
      <c r="E67" s="18">
        <f>AVERAGEA(G11:G22)</f>
        <v>801503.5</v>
      </c>
      <c r="F67" s="187" t="s">
        <v>25</v>
      </c>
      <c r="G67" s="187"/>
      <c r="I67" s="193"/>
      <c r="J67" s="18">
        <f>AVERAGEA(H11:H22)</f>
        <v>510949.5</v>
      </c>
      <c r="K67" s="187" t="s">
        <v>25</v>
      </c>
      <c r="L67" s="187"/>
      <c r="N67" s="188"/>
      <c r="O67" s="18">
        <f>AVERAGEA(F11:F22)</f>
        <v>145277</v>
      </c>
      <c r="P67" s="187" t="s">
        <v>25</v>
      </c>
      <c r="Q67" s="187"/>
    </row>
    <row r="68" spans="1:17" x14ac:dyDescent="0.3">
      <c r="D68" s="192"/>
      <c r="E68" s="18">
        <f>AVERAGEA(G23:G34)</f>
        <v>857935.33333333337</v>
      </c>
      <c r="F68" s="184" t="s">
        <v>26</v>
      </c>
      <c r="G68" s="185"/>
      <c r="I68" s="193"/>
      <c r="J68" s="18">
        <f>AVERAGEA(H23:H34)</f>
        <v>456804.33333333331</v>
      </c>
      <c r="K68" s="184" t="s">
        <v>26</v>
      </c>
      <c r="L68" s="185"/>
      <c r="N68" s="188"/>
      <c r="O68" s="18">
        <f>AVERAGEA(F23:F34)</f>
        <v>200565.5</v>
      </c>
      <c r="P68" s="184" t="s">
        <v>26</v>
      </c>
      <c r="Q68" s="185"/>
    </row>
    <row r="69" spans="1:17" x14ac:dyDescent="0.3">
      <c r="D69" s="192"/>
      <c r="E69" s="18">
        <f>AVERAGEA(G35:G42)</f>
        <v>705374</v>
      </c>
      <c r="F69" s="184" t="s">
        <v>34</v>
      </c>
      <c r="G69" s="185"/>
      <c r="I69" s="193"/>
      <c r="J69" s="18">
        <f>AVERAGEA(H35:H42)</f>
        <v>437464.75</v>
      </c>
      <c r="K69" s="184" t="s">
        <v>34</v>
      </c>
      <c r="L69" s="185"/>
      <c r="N69" s="188"/>
      <c r="O69" s="18">
        <f>AVERAGEA(I35:I42)</f>
        <v>267909.25</v>
      </c>
      <c r="P69" s="184" t="s">
        <v>34</v>
      </c>
      <c r="Q69" s="185"/>
    </row>
    <row r="70" spans="1:17" x14ac:dyDescent="0.3">
      <c r="D70" s="192"/>
      <c r="E70" s="28" t="e">
        <f>AVERAGEA(E65:E68)</f>
        <v>#REF!</v>
      </c>
      <c r="F70" s="186" t="s">
        <v>10</v>
      </c>
      <c r="G70" s="186"/>
      <c r="I70" s="193"/>
      <c r="J70" s="28" t="e">
        <f>AVERAGEA(J65:J68)</f>
        <v>#REF!</v>
      </c>
      <c r="K70" s="186" t="s">
        <v>10</v>
      </c>
      <c r="L70" s="186"/>
      <c r="N70" s="189"/>
      <c r="O70" s="28" t="e">
        <f>AVERAGEA(O65:O68)</f>
        <v>#REF!</v>
      </c>
      <c r="P70" s="186" t="s">
        <v>10</v>
      </c>
      <c r="Q70" s="186"/>
    </row>
    <row r="72" spans="1:17" x14ac:dyDescent="0.3">
      <c r="D72"/>
      <c r="E72"/>
      <c r="F72"/>
      <c r="G72"/>
      <c r="H72"/>
      <c r="I72"/>
    </row>
    <row r="73" spans="1:17" s="1" customFormat="1" x14ac:dyDescent="0.3">
      <c r="A73"/>
      <c r="D73"/>
      <c r="E73"/>
      <c r="F73"/>
      <c r="G73"/>
      <c r="H73"/>
      <c r="I73"/>
      <c r="J73"/>
      <c r="K73"/>
      <c r="L73"/>
      <c r="M73"/>
      <c r="N73"/>
    </row>
    <row r="74" spans="1:17" x14ac:dyDescent="0.3">
      <c r="D74"/>
      <c r="E74"/>
      <c r="F74"/>
      <c r="G74"/>
      <c r="H74"/>
      <c r="I74"/>
    </row>
    <row r="75" spans="1:17" ht="27" customHeight="1" x14ac:dyDescent="0.3">
      <c r="D75"/>
      <c r="E75"/>
      <c r="F75"/>
      <c r="G75"/>
      <c r="H75"/>
      <c r="I75"/>
    </row>
    <row r="76" spans="1:17" x14ac:dyDescent="0.3">
      <c r="D76"/>
      <c r="E76"/>
      <c r="F76"/>
      <c r="G76"/>
      <c r="H76"/>
      <c r="I76"/>
    </row>
    <row r="77" spans="1:17" x14ac:dyDescent="0.3">
      <c r="D77"/>
      <c r="E77"/>
      <c r="F77"/>
      <c r="G77"/>
      <c r="H77"/>
      <c r="I77"/>
    </row>
    <row r="78" spans="1:17" x14ac:dyDescent="0.3">
      <c r="D78"/>
      <c r="E78"/>
      <c r="F78"/>
      <c r="G78"/>
      <c r="H78"/>
      <c r="I78"/>
    </row>
    <row r="79" spans="1:17" x14ac:dyDescent="0.3">
      <c r="D79"/>
      <c r="E79"/>
      <c r="F79"/>
      <c r="G79"/>
      <c r="H79"/>
      <c r="I79"/>
    </row>
    <row r="80" spans="1:17" x14ac:dyDescent="0.3">
      <c r="D80"/>
      <c r="E80"/>
      <c r="F80"/>
      <c r="G80"/>
      <c r="H80"/>
      <c r="I80"/>
    </row>
    <row r="81" spans="4:9" x14ac:dyDescent="0.3">
      <c r="D81"/>
      <c r="E81"/>
      <c r="F81"/>
      <c r="G81"/>
      <c r="H81"/>
      <c r="I81"/>
    </row>
    <row r="82" spans="4:9" x14ac:dyDescent="0.3">
      <c r="D82"/>
      <c r="E82"/>
      <c r="F82"/>
      <c r="G82"/>
      <c r="H82"/>
      <c r="I82"/>
    </row>
  </sheetData>
  <autoFilter ref="B2:I24" xr:uid="{00000000-0009-0000-0000-000001000000}"/>
  <mergeCells count="166">
    <mergeCell ref="A1:A2"/>
    <mergeCell ref="B1:B2"/>
    <mergeCell ref="C1:C2"/>
    <mergeCell ref="D1:F1"/>
    <mergeCell ref="G1:I1"/>
    <mergeCell ref="J3:J4"/>
    <mergeCell ref="A5:A6"/>
    <mergeCell ref="B5:B6"/>
    <mergeCell ref="G5:G6"/>
    <mergeCell ref="H5:H6"/>
    <mergeCell ref="I5:I6"/>
    <mergeCell ref="A3:A4"/>
    <mergeCell ref="B3:B4"/>
    <mergeCell ref="G3:G4"/>
    <mergeCell ref="H3:H4"/>
    <mergeCell ref="I3:I4"/>
    <mergeCell ref="A7:A8"/>
    <mergeCell ref="B7:B8"/>
    <mergeCell ref="G7:G8"/>
    <mergeCell ref="H7:H8"/>
    <mergeCell ref="I7:I8"/>
    <mergeCell ref="A9:A10"/>
    <mergeCell ref="B9:B10"/>
    <mergeCell ref="G9:G10"/>
    <mergeCell ref="H9:H10"/>
    <mergeCell ref="I9:I10"/>
    <mergeCell ref="J17:J18"/>
    <mergeCell ref="A15:A16"/>
    <mergeCell ref="B15:B16"/>
    <mergeCell ref="G15:G16"/>
    <mergeCell ref="H15:H16"/>
    <mergeCell ref="I15:I16"/>
    <mergeCell ref="A11:A12"/>
    <mergeCell ref="B11:B12"/>
    <mergeCell ref="G11:G12"/>
    <mergeCell ref="H11:H12"/>
    <mergeCell ref="I11:I12"/>
    <mergeCell ref="A13:A14"/>
    <mergeCell ref="B13:B14"/>
    <mergeCell ref="G13:G14"/>
    <mergeCell ref="H13:H14"/>
    <mergeCell ref="I13:I14"/>
    <mergeCell ref="A17:A18"/>
    <mergeCell ref="B17:B18"/>
    <mergeCell ref="G17:G18"/>
    <mergeCell ref="H17:H18"/>
    <mergeCell ref="I17:I18"/>
    <mergeCell ref="A19:A20"/>
    <mergeCell ref="B19:B20"/>
    <mergeCell ref="G19:G20"/>
    <mergeCell ref="H19:H20"/>
    <mergeCell ref="I19:I20"/>
    <mergeCell ref="A21:A22"/>
    <mergeCell ref="B21:B22"/>
    <mergeCell ref="G21:G22"/>
    <mergeCell ref="H21:H22"/>
    <mergeCell ref="I21:I22"/>
    <mergeCell ref="A23:A24"/>
    <mergeCell ref="B23:B24"/>
    <mergeCell ref="G23:G24"/>
    <mergeCell ref="H23:H24"/>
    <mergeCell ref="I23:I24"/>
    <mergeCell ref="A25:A26"/>
    <mergeCell ref="B25:B26"/>
    <mergeCell ref="G25:G26"/>
    <mergeCell ref="H25:H26"/>
    <mergeCell ref="I25:I26"/>
    <mergeCell ref="A27:A28"/>
    <mergeCell ref="B27:B28"/>
    <mergeCell ref="G27:G28"/>
    <mergeCell ref="H27:H28"/>
    <mergeCell ref="I27:I28"/>
    <mergeCell ref="A29:A30"/>
    <mergeCell ref="B29:B30"/>
    <mergeCell ref="G29:G30"/>
    <mergeCell ref="H29:H30"/>
    <mergeCell ref="I29:I30"/>
    <mergeCell ref="A31:A32"/>
    <mergeCell ref="B31:B32"/>
    <mergeCell ref="G31:G32"/>
    <mergeCell ref="H31:H32"/>
    <mergeCell ref="I31:I32"/>
    <mergeCell ref="A33:A34"/>
    <mergeCell ref="B33:B34"/>
    <mergeCell ref="G33:G34"/>
    <mergeCell ref="H33:H34"/>
    <mergeCell ref="I33:I34"/>
    <mergeCell ref="A35:A36"/>
    <mergeCell ref="B35:B36"/>
    <mergeCell ref="G35:G36"/>
    <mergeCell ref="H35:H36"/>
    <mergeCell ref="I35:I36"/>
    <mergeCell ref="A37:A38"/>
    <mergeCell ref="B37:B38"/>
    <mergeCell ref="G37:G38"/>
    <mergeCell ref="H37:H38"/>
    <mergeCell ref="I37:I38"/>
    <mergeCell ref="A39:A40"/>
    <mergeCell ref="B39:B40"/>
    <mergeCell ref="G39:G40"/>
    <mergeCell ref="H39:H40"/>
    <mergeCell ref="I39:I40"/>
    <mergeCell ref="A41:A42"/>
    <mergeCell ref="B41:B42"/>
    <mergeCell ref="G41:G42"/>
    <mergeCell ref="H41:H42"/>
    <mergeCell ref="I41:I42"/>
    <mergeCell ref="A43:A44"/>
    <mergeCell ref="B43:B44"/>
    <mergeCell ref="G43:G44"/>
    <mergeCell ref="H43:H44"/>
    <mergeCell ref="I43:I44"/>
    <mergeCell ref="A45:A46"/>
    <mergeCell ref="B45:B46"/>
    <mergeCell ref="G45:G46"/>
    <mergeCell ref="H45:H46"/>
    <mergeCell ref="I45:I46"/>
    <mergeCell ref="A47:A48"/>
    <mergeCell ref="B47:B48"/>
    <mergeCell ref="G47:G48"/>
    <mergeCell ref="H47:H48"/>
    <mergeCell ref="I47:I48"/>
    <mergeCell ref="B57:C57"/>
    <mergeCell ref="F62:G62"/>
    <mergeCell ref="F63:G63"/>
    <mergeCell ref="D65:D70"/>
    <mergeCell ref="F65:G65"/>
    <mergeCell ref="I65:I70"/>
    <mergeCell ref="A49:A50"/>
    <mergeCell ref="B49:B50"/>
    <mergeCell ref="G49:G50"/>
    <mergeCell ref="H49:H50"/>
    <mergeCell ref="I49:I50"/>
    <mergeCell ref="A55:A56"/>
    <mergeCell ref="B55:B56"/>
    <mergeCell ref="G55:G56"/>
    <mergeCell ref="H55:H56"/>
    <mergeCell ref="I55:I56"/>
    <mergeCell ref="A51:A52"/>
    <mergeCell ref="B51:B52"/>
    <mergeCell ref="G51:G52"/>
    <mergeCell ref="F69:G69"/>
    <mergeCell ref="K69:L69"/>
    <mergeCell ref="P69:Q69"/>
    <mergeCell ref="F70:G70"/>
    <mergeCell ref="K70:L70"/>
    <mergeCell ref="P70:Q70"/>
    <mergeCell ref="K65:L65"/>
    <mergeCell ref="N65:N70"/>
    <mergeCell ref="P65:Q65"/>
    <mergeCell ref="F66:G66"/>
    <mergeCell ref="K66:L66"/>
    <mergeCell ref="P66:Q66"/>
    <mergeCell ref="F67:G67"/>
    <mergeCell ref="K67:L67"/>
    <mergeCell ref="P67:Q67"/>
    <mergeCell ref="F68:G68"/>
    <mergeCell ref="H51:H52"/>
    <mergeCell ref="I51:I52"/>
    <mergeCell ref="A53:A54"/>
    <mergeCell ref="B53:B54"/>
    <mergeCell ref="G53:G54"/>
    <mergeCell ref="H53:H54"/>
    <mergeCell ref="I53:I54"/>
    <mergeCell ref="K68:L68"/>
    <mergeCell ref="P68:Q68"/>
  </mergeCells>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25682-2D24-45CE-979E-35FB88C988C2}">
  <sheetPr>
    <tabColor theme="2" tint="-9.9978637043366805E-2"/>
  </sheetPr>
  <dimension ref="A1:Q78"/>
  <sheetViews>
    <sheetView showGridLines="0" zoomScale="85" zoomScaleNormal="85" workbookViewId="0">
      <pane xSplit="3" ySplit="2" topLeftCell="D35" activePane="bottomRight" state="frozen"/>
      <selection activeCell="S39" sqref="S39"/>
      <selection pane="topRight" activeCell="S39" sqref="S39"/>
      <selection pane="bottomLeft" activeCell="S39" sqref="S39"/>
      <selection pane="bottomRight" activeCell="S39" sqref="S39"/>
    </sheetView>
  </sheetViews>
  <sheetFormatPr baseColWidth="10" defaultRowHeight="14.4" x14ac:dyDescent="0.3"/>
  <cols>
    <col min="1" max="1" width="8.88671875" customWidth="1"/>
    <col min="2" max="2" width="12.44140625" style="1" customWidth="1"/>
    <col min="3" max="3" width="8.88671875" style="1" customWidth="1"/>
    <col min="4" max="4" width="13.33203125" style="1" customWidth="1"/>
    <col min="5" max="5" width="13.5546875" style="1" customWidth="1"/>
    <col min="6" max="6" width="11.33203125" style="1" customWidth="1"/>
    <col min="7" max="7" width="13.88671875" style="1" customWidth="1"/>
    <col min="8" max="8" width="13.44140625" style="1" customWidth="1"/>
    <col min="9" max="9" width="11.88671875" style="1" customWidth="1"/>
    <col min="10" max="10" width="12" bestFit="1" customWidth="1"/>
    <col min="11" max="11" width="12.33203125" bestFit="1" customWidth="1"/>
  </cols>
  <sheetData>
    <row r="1" spans="1:16" x14ac:dyDescent="0.3">
      <c r="A1" s="241" t="s">
        <v>12</v>
      </c>
      <c r="B1" s="241" t="s">
        <v>0</v>
      </c>
      <c r="C1" s="241" t="s">
        <v>1</v>
      </c>
      <c r="D1" s="243" t="s">
        <v>7</v>
      </c>
      <c r="E1" s="244"/>
      <c r="F1" s="244"/>
      <c r="G1" s="245" t="s">
        <v>10</v>
      </c>
      <c r="H1" s="246"/>
      <c r="I1" s="247"/>
    </row>
    <row r="2" spans="1:16" ht="15" thickBot="1" x14ac:dyDescent="0.35">
      <c r="A2" s="242"/>
      <c r="B2" s="242"/>
      <c r="C2" s="242"/>
      <c r="D2" s="4" t="s">
        <v>4</v>
      </c>
      <c r="E2" s="5" t="s">
        <v>5</v>
      </c>
      <c r="F2" s="7" t="s">
        <v>6</v>
      </c>
      <c r="G2" s="8" t="s">
        <v>2</v>
      </c>
      <c r="H2" s="5" t="s">
        <v>11</v>
      </c>
      <c r="I2" s="9" t="s">
        <v>3</v>
      </c>
    </row>
    <row r="3" spans="1:16" x14ac:dyDescent="0.3">
      <c r="A3" s="317" t="s">
        <v>13</v>
      </c>
      <c r="B3" s="335">
        <v>45962</v>
      </c>
      <c r="C3" s="131" t="s">
        <v>8</v>
      </c>
      <c r="D3" s="111">
        <v>421607</v>
      </c>
      <c r="E3" s="111">
        <v>30000</v>
      </c>
      <c r="F3" s="111">
        <f t="shared" ref="F3:F18" si="0">D3-E3</f>
        <v>391607</v>
      </c>
      <c r="G3" s="321">
        <f>D3+D4</f>
        <v>774525</v>
      </c>
      <c r="H3" s="346">
        <f>E3+E4</f>
        <v>105000</v>
      </c>
      <c r="I3" s="323">
        <f>G3-H3</f>
        <v>669525</v>
      </c>
    </row>
    <row r="4" spans="1:16" ht="15" thickBot="1" x14ac:dyDescent="0.35">
      <c r="A4" s="318"/>
      <c r="B4" s="345"/>
      <c r="C4" s="132" t="s">
        <v>35</v>
      </c>
      <c r="D4" s="114">
        <v>352918</v>
      </c>
      <c r="E4" s="114">
        <v>75000</v>
      </c>
      <c r="F4" s="114">
        <f t="shared" si="0"/>
        <v>277918</v>
      </c>
      <c r="G4" s="322"/>
      <c r="H4" s="347"/>
      <c r="I4" s="324"/>
    </row>
    <row r="5" spans="1:16" s="1" customFormat="1" x14ac:dyDescent="0.3">
      <c r="A5" s="219" t="s">
        <v>17</v>
      </c>
      <c r="B5" s="196">
        <v>45964</v>
      </c>
      <c r="C5" s="60" t="s">
        <v>8</v>
      </c>
      <c r="D5" s="23">
        <v>312425</v>
      </c>
      <c r="E5" s="3">
        <v>239660</v>
      </c>
      <c r="F5" s="3">
        <f>D5-E5</f>
        <v>72765</v>
      </c>
      <c r="G5" s="220">
        <f>D5+D6</f>
        <v>641741</v>
      </c>
      <c r="H5" s="220">
        <f>E5+E6</f>
        <v>254660</v>
      </c>
      <c r="I5" s="221">
        <f>G5-H5</f>
        <v>387081</v>
      </c>
      <c r="J5"/>
      <c r="K5"/>
      <c r="L5"/>
      <c r="M5"/>
      <c r="N5"/>
      <c r="O5"/>
      <c r="P5"/>
    </row>
    <row r="6" spans="1:16" s="1" customFormat="1" ht="15" thickBot="1" x14ac:dyDescent="0.35">
      <c r="A6" s="194"/>
      <c r="B6" s="197"/>
      <c r="C6" s="61" t="s">
        <v>9</v>
      </c>
      <c r="D6" s="22">
        <v>329316</v>
      </c>
      <c r="E6" s="2">
        <f>5000+10000</f>
        <v>15000</v>
      </c>
      <c r="F6" s="2">
        <f>D6-E6</f>
        <v>314316</v>
      </c>
      <c r="G6" s="198"/>
      <c r="H6" s="198"/>
      <c r="I6" s="200"/>
      <c r="J6"/>
      <c r="K6"/>
      <c r="L6"/>
      <c r="M6"/>
      <c r="N6"/>
      <c r="O6"/>
      <c r="P6"/>
    </row>
    <row r="7" spans="1:16" s="1" customFormat="1" x14ac:dyDescent="0.3">
      <c r="A7" s="219" t="s">
        <v>18</v>
      </c>
      <c r="B7" s="196">
        <v>45965</v>
      </c>
      <c r="C7" s="60" t="s">
        <v>8</v>
      </c>
      <c r="D7" s="23">
        <v>389897</v>
      </c>
      <c r="E7" s="3">
        <f>64163+5000+182963+18600</f>
        <v>270726</v>
      </c>
      <c r="F7" s="3">
        <f t="shared" si="0"/>
        <v>119171</v>
      </c>
      <c r="G7" s="220">
        <f>D7+D8</f>
        <v>871601</v>
      </c>
      <c r="H7" s="220">
        <f>E7+E8</f>
        <v>402626</v>
      </c>
      <c r="I7" s="221">
        <f>G7-H7</f>
        <v>468975</v>
      </c>
      <c r="K7"/>
      <c r="L7"/>
      <c r="M7"/>
      <c r="N7"/>
      <c r="O7"/>
      <c r="P7"/>
    </row>
    <row r="8" spans="1:16" s="1" customFormat="1" ht="15" thickBot="1" x14ac:dyDescent="0.35">
      <c r="A8" s="194"/>
      <c r="B8" s="197"/>
      <c r="C8" s="61" t="s">
        <v>9</v>
      </c>
      <c r="D8" s="22">
        <v>481704</v>
      </c>
      <c r="E8" s="2">
        <f>54500+37400+40000</f>
        <v>131900</v>
      </c>
      <c r="F8" s="2">
        <f t="shared" si="0"/>
        <v>349804</v>
      </c>
      <c r="G8" s="198"/>
      <c r="H8" s="198"/>
      <c r="I8" s="200"/>
      <c r="K8"/>
      <c r="L8"/>
      <c r="M8"/>
      <c r="N8"/>
      <c r="O8"/>
      <c r="P8"/>
    </row>
    <row r="9" spans="1:16" s="1" customFormat="1" ht="14.25" customHeight="1" x14ac:dyDescent="0.3">
      <c r="A9" s="219" t="s">
        <v>19</v>
      </c>
      <c r="B9" s="196">
        <v>45966</v>
      </c>
      <c r="C9" s="60" t="s">
        <v>8</v>
      </c>
      <c r="D9" s="23">
        <v>424780</v>
      </c>
      <c r="E9" s="3">
        <f>10000+60000</f>
        <v>70000</v>
      </c>
      <c r="F9" s="3">
        <f t="shared" si="0"/>
        <v>354780</v>
      </c>
      <c r="G9" s="220">
        <f>D9+D10</f>
        <v>889655</v>
      </c>
      <c r="H9" s="220">
        <f>E9+E10</f>
        <v>314078</v>
      </c>
      <c r="I9" s="221">
        <f>G9-H9</f>
        <v>575577</v>
      </c>
      <c r="J9"/>
      <c r="K9"/>
      <c r="L9"/>
      <c r="O9"/>
      <c r="P9"/>
    </row>
    <row r="10" spans="1:16" s="1" customFormat="1" ht="15" thickBot="1" x14ac:dyDescent="0.35">
      <c r="A10" s="194"/>
      <c r="B10" s="197"/>
      <c r="C10" s="61" t="s">
        <v>9</v>
      </c>
      <c r="D10" s="22">
        <v>464875</v>
      </c>
      <c r="E10" s="2">
        <v>244078</v>
      </c>
      <c r="F10" s="2">
        <f t="shared" si="0"/>
        <v>220797</v>
      </c>
      <c r="G10" s="198"/>
      <c r="H10" s="198"/>
      <c r="I10" s="200"/>
      <c r="J10"/>
      <c r="K10"/>
      <c r="L10"/>
      <c r="O10"/>
      <c r="P10"/>
    </row>
    <row r="11" spans="1:16" s="1" customFormat="1" x14ac:dyDescent="0.3">
      <c r="A11" s="219" t="s">
        <v>15</v>
      </c>
      <c r="B11" s="196">
        <v>45967</v>
      </c>
      <c r="C11" s="60" t="s">
        <v>8</v>
      </c>
      <c r="D11" s="23">
        <v>413776</v>
      </c>
      <c r="E11" s="3">
        <f>48000+213124</f>
        <v>261124</v>
      </c>
      <c r="F11" s="3">
        <f>D11-E11</f>
        <v>152652</v>
      </c>
      <c r="G11" s="220">
        <f>D11+D12</f>
        <v>1116345</v>
      </c>
      <c r="H11" s="220">
        <f>E11+E12</f>
        <v>440107</v>
      </c>
      <c r="I11" s="221">
        <f>G11-H11</f>
        <v>676238</v>
      </c>
      <c r="K11"/>
      <c r="L11"/>
      <c r="O11"/>
      <c r="P11"/>
    </row>
    <row r="12" spans="1:16" s="1" customFormat="1" ht="15" thickBot="1" x14ac:dyDescent="0.35">
      <c r="A12" s="194"/>
      <c r="B12" s="197"/>
      <c r="C12" s="61" t="s">
        <v>9</v>
      </c>
      <c r="D12" s="22">
        <v>702569</v>
      </c>
      <c r="E12" s="2">
        <f>81993+96990</f>
        <v>178983</v>
      </c>
      <c r="F12" s="2">
        <f>D12-E12</f>
        <v>523586</v>
      </c>
      <c r="G12" s="198"/>
      <c r="H12" s="198"/>
      <c r="I12" s="200"/>
      <c r="K12"/>
      <c r="L12"/>
      <c r="M12"/>
      <c r="N12"/>
      <c r="O12"/>
      <c r="P12"/>
    </row>
    <row r="13" spans="1:16" x14ac:dyDescent="0.3">
      <c r="A13" s="219" t="s">
        <v>16</v>
      </c>
      <c r="B13" s="196">
        <v>45968</v>
      </c>
      <c r="C13" s="60" t="s">
        <v>8</v>
      </c>
      <c r="D13" s="23">
        <v>694113</v>
      </c>
      <c r="E13" s="3">
        <f>159470+5000+41500+91400+9000+8000+83375+207275</f>
        <v>605020</v>
      </c>
      <c r="F13" s="3">
        <f>D13-E13</f>
        <v>89093</v>
      </c>
      <c r="G13" s="220">
        <f>D13+D14</f>
        <v>1362680</v>
      </c>
      <c r="H13" s="220">
        <f>E13+E14</f>
        <v>1235020</v>
      </c>
      <c r="I13" s="221">
        <f>G13-H13</f>
        <v>127660</v>
      </c>
      <c r="J13" s="248" t="s">
        <v>42</v>
      </c>
    </row>
    <row r="14" spans="1:16" ht="15" thickBot="1" x14ac:dyDescent="0.35">
      <c r="A14" s="194"/>
      <c r="B14" s="197"/>
      <c r="C14" s="61" t="s">
        <v>9</v>
      </c>
      <c r="D14" s="22">
        <v>668567</v>
      </c>
      <c r="E14" s="2">
        <v>630000</v>
      </c>
      <c r="F14" s="2">
        <f>D14-E14</f>
        <v>38567</v>
      </c>
      <c r="G14" s="198"/>
      <c r="H14" s="198"/>
      <c r="I14" s="200"/>
      <c r="J14" s="249"/>
    </row>
    <row r="15" spans="1:16" x14ac:dyDescent="0.3">
      <c r="A15" s="202" t="s">
        <v>13</v>
      </c>
      <c r="B15" s="204">
        <v>45969</v>
      </c>
      <c r="C15" s="77" t="s">
        <v>8</v>
      </c>
      <c r="D15" s="35">
        <v>390512</v>
      </c>
      <c r="E15" s="36">
        <f>50178+230570</f>
        <v>280748</v>
      </c>
      <c r="F15" s="36">
        <f t="shared" si="0"/>
        <v>109764</v>
      </c>
      <c r="G15" s="206">
        <f>D15+D16</f>
        <v>689943</v>
      </c>
      <c r="H15" s="206">
        <f>E15+E16</f>
        <v>506548</v>
      </c>
      <c r="I15" s="208">
        <f>G15-H15</f>
        <v>183395</v>
      </c>
    </row>
    <row r="16" spans="1:16" ht="15" thickBot="1" x14ac:dyDescent="0.35">
      <c r="A16" s="203"/>
      <c r="B16" s="280"/>
      <c r="C16" s="78" t="s">
        <v>9</v>
      </c>
      <c r="D16" s="37">
        <v>299431</v>
      </c>
      <c r="E16" s="38">
        <f>225800</f>
        <v>225800</v>
      </c>
      <c r="F16" s="38">
        <f t="shared" si="0"/>
        <v>73631</v>
      </c>
      <c r="G16" s="207"/>
      <c r="H16" s="207"/>
      <c r="I16" s="209"/>
    </row>
    <row r="17" spans="1:16" x14ac:dyDescent="0.3">
      <c r="A17" s="226" t="s">
        <v>17</v>
      </c>
      <c r="B17" s="227">
        <v>45971</v>
      </c>
      <c r="C17" s="76" t="s">
        <v>8</v>
      </c>
      <c r="D17" s="30">
        <v>241702</v>
      </c>
      <c r="E17" s="11">
        <f>409641+5000+62013</f>
        <v>476654</v>
      </c>
      <c r="F17" s="11">
        <f t="shared" si="0"/>
        <v>-234952</v>
      </c>
      <c r="G17" s="224">
        <f>D17+D18</f>
        <v>646259</v>
      </c>
      <c r="H17" s="224">
        <f>E17+E18</f>
        <v>772754</v>
      </c>
      <c r="I17" s="228">
        <f>G17-H17</f>
        <v>-126495</v>
      </c>
    </row>
    <row r="18" spans="1:16" ht="15" thickBot="1" x14ac:dyDescent="0.35">
      <c r="A18" s="222"/>
      <c r="B18" s="197"/>
      <c r="C18" s="62" t="s">
        <v>9</v>
      </c>
      <c r="D18" s="27">
        <v>404557</v>
      </c>
      <c r="E18" s="10">
        <f>67500+18600+90000+30000+90000</f>
        <v>296100</v>
      </c>
      <c r="F18" s="10">
        <f t="shared" si="0"/>
        <v>108457</v>
      </c>
      <c r="G18" s="223"/>
      <c r="H18" s="223"/>
      <c r="I18" s="225"/>
    </row>
    <row r="19" spans="1:16" x14ac:dyDescent="0.3">
      <c r="A19" s="226" t="s">
        <v>18</v>
      </c>
      <c r="B19" s="227">
        <v>45972</v>
      </c>
      <c r="C19" s="76" t="s">
        <v>8</v>
      </c>
      <c r="D19" s="30">
        <v>328992</v>
      </c>
      <c r="E19" s="11">
        <f>116889+5000</f>
        <v>121889</v>
      </c>
      <c r="F19" s="11">
        <f>D19-E19</f>
        <v>207103</v>
      </c>
      <c r="G19" s="224">
        <f>D19+D20</f>
        <v>805321</v>
      </c>
      <c r="H19" s="224">
        <f>E19+E20</f>
        <v>186274</v>
      </c>
      <c r="I19" s="228">
        <f>G19-H19</f>
        <v>619047</v>
      </c>
    </row>
    <row r="20" spans="1:16" ht="15" thickBot="1" x14ac:dyDescent="0.35">
      <c r="A20" s="222"/>
      <c r="B20" s="197"/>
      <c r="C20" s="62" t="s">
        <v>9</v>
      </c>
      <c r="D20" s="27">
        <v>476329</v>
      </c>
      <c r="E20" s="10">
        <f>8385+56000</f>
        <v>64385</v>
      </c>
      <c r="F20" s="10">
        <f>D20-E20</f>
        <v>411944</v>
      </c>
      <c r="G20" s="223"/>
      <c r="H20" s="223"/>
      <c r="I20" s="225"/>
    </row>
    <row r="21" spans="1:16" x14ac:dyDescent="0.3">
      <c r="A21" s="226" t="s">
        <v>14</v>
      </c>
      <c r="B21" s="227">
        <v>45973</v>
      </c>
      <c r="C21" s="76" t="s">
        <v>8</v>
      </c>
      <c r="D21" s="30">
        <v>390067</v>
      </c>
      <c r="E21" s="11">
        <f>5000+60243+15600+40500+37400+60000</f>
        <v>218743</v>
      </c>
      <c r="F21" s="11">
        <f>D21-E21</f>
        <v>171324</v>
      </c>
      <c r="G21" s="224">
        <f>D21+D22</f>
        <v>812449</v>
      </c>
      <c r="H21" s="224">
        <f>E21+E22</f>
        <v>516187</v>
      </c>
      <c r="I21" s="228">
        <f>G21-H21</f>
        <v>296262</v>
      </c>
    </row>
    <row r="22" spans="1:16" ht="15" thickBot="1" x14ac:dyDescent="0.35">
      <c r="A22" s="222"/>
      <c r="B22" s="197"/>
      <c r="C22" s="62" t="s">
        <v>9</v>
      </c>
      <c r="D22" s="27">
        <v>422382</v>
      </c>
      <c r="E22" s="10">
        <v>297444</v>
      </c>
      <c r="F22" s="10">
        <f>D22-E22</f>
        <v>124938</v>
      </c>
      <c r="G22" s="223"/>
      <c r="H22" s="223"/>
      <c r="I22" s="225"/>
    </row>
    <row r="23" spans="1:16" s="1" customFormat="1" x14ac:dyDescent="0.3">
      <c r="A23" s="194" t="s">
        <v>15</v>
      </c>
      <c r="B23" s="227">
        <v>45974</v>
      </c>
      <c r="C23" s="61" t="s">
        <v>8</v>
      </c>
      <c r="D23" s="22">
        <v>274781</v>
      </c>
      <c r="E23" s="11">
        <f>267267+5000</f>
        <v>272267</v>
      </c>
      <c r="F23" s="2">
        <f t="shared" ref="F23:F30" si="1">D23-E23</f>
        <v>2514</v>
      </c>
      <c r="G23" s="198">
        <f>D23+D24</f>
        <v>650149</v>
      </c>
      <c r="H23" s="198">
        <f>E23+E24</f>
        <v>522321</v>
      </c>
      <c r="I23" s="200">
        <f>G23-H23</f>
        <v>127828</v>
      </c>
      <c r="J23"/>
      <c r="K23"/>
      <c r="L23"/>
      <c r="O23"/>
      <c r="P23"/>
    </row>
    <row r="24" spans="1:16" s="1" customFormat="1" ht="15" thickBot="1" x14ac:dyDescent="0.35">
      <c r="A24" s="194"/>
      <c r="B24" s="197"/>
      <c r="C24" s="61" t="s">
        <v>9</v>
      </c>
      <c r="D24" s="22">
        <v>375368</v>
      </c>
      <c r="E24" s="10">
        <f>115930+43124+76000+10000+5000</f>
        <v>250054</v>
      </c>
      <c r="F24" s="2">
        <f t="shared" si="1"/>
        <v>125314</v>
      </c>
      <c r="G24" s="198"/>
      <c r="H24" s="198"/>
      <c r="I24" s="200"/>
      <c r="J24"/>
      <c r="K24"/>
      <c r="L24"/>
      <c r="O24"/>
      <c r="P24"/>
    </row>
    <row r="25" spans="1:16" x14ac:dyDescent="0.3">
      <c r="A25" s="194" t="s">
        <v>16</v>
      </c>
      <c r="B25" s="227">
        <v>45975</v>
      </c>
      <c r="C25" s="61" t="s">
        <v>8</v>
      </c>
      <c r="D25" s="22">
        <v>385302</v>
      </c>
      <c r="E25" s="2">
        <f>144211+132600</f>
        <v>276811</v>
      </c>
      <c r="F25" s="2">
        <f t="shared" si="1"/>
        <v>108491</v>
      </c>
      <c r="G25" s="198">
        <f>D25+D26</f>
        <v>761277</v>
      </c>
      <c r="H25" s="198">
        <f>E25+E26</f>
        <v>365850</v>
      </c>
      <c r="I25" s="200">
        <f>G25-H25</f>
        <v>395427</v>
      </c>
    </row>
    <row r="26" spans="1:16" ht="15" thickBot="1" x14ac:dyDescent="0.35">
      <c r="A26" s="222"/>
      <c r="B26" s="197"/>
      <c r="C26" s="62" t="s">
        <v>9</v>
      </c>
      <c r="D26" s="27">
        <v>375975</v>
      </c>
      <c r="E26" s="10">
        <f>21039+18000+50000</f>
        <v>89039</v>
      </c>
      <c r="F26" s="10">
        <f t="shared" si="1"/>
        <v>286936</v>
      </c>
      <c r="G26" s="223"/>
      <c r="H26" s="223"/>
      <c r="I26" s="225"/>
    </row>
    <row r="27" spans="1:16" x14ac:dyDescent="0.3">
      <c r="A27" s="317" t="s">
        <v>13</v>
      </c>
      <c r="B27" s="319">
        <v>45976</v>
      </c>
      <c r="C27" s="109" t="s">
        <v>8</v>
      </c>
      <c r="D27" s="110">
        <v>257583</v>
      </c>
      <c r="E27" s="111">
        <f>5000+10000</f>
        <v>15000</v>
      </c>
      <c r="F27" s="111">
        <f t="shared" si="1"/>
        <v>242583</v>
      </c>
      <c r="G27" s="321">
        <f>D27+D28</f>
        <v>573219</v>
      </c>
      <c r="H27" s="346">
        <f>E27+E28</f>
        <v>115000</v>
      </c>
      <c r="I27" s="323">
        <f>G27-H27</f>
        <v>458219</v>
      </c>
    </row>
    <row r="28" spans="1:16" ht="15" thickBot="1" x14ac:dyDescent="0.35">
      <c r="A28" s="318"/>
      <c r="B28" s="320"/>
      <c r="C28" s="112" t="s">
        <v>9</v>
      </c>
      <c r="D28" s="113">
        <v>315636</v>
      </c>
      <c r="E28" s="114">
        <v>100000</v>
      </c>
      <c r="F28" s="114">
        <f t="shared" si="1"/>
        <v>215636</v>
      </c>
      <c r="G28" s="322"/>
      <c r="H28" s="347"/>
      <c r="I28" s="324"/>
    </row>
    <row r="29" spans="1:16" x14ac:dyDescent="0.3">
      <c r="A29" s="226" t="s">
        <v>17</v>
      </c>
      <c r="B29" s="227">
        <v>45978</v>
      </c>
      <c r="C29" s="76" t="s">
        <v>8</v>
      </c>
      <c r="D29" s="30">
        <v>304367</v>
      </c>
      <c r="E29" s="11">
        <f>208175+18600</f>
        <v>226775</v>
      </c>
      <c r="F29" s="11">
        <f t="shared" si="1"/>
        <v>77592</v>
      </c>
      <c r="G29" s="224">
        <f>D29+D30</f>
        <v>722559</v>
      </c>
      <c r="H29" s="224">
        <f>E29+E30</f>
        <v>374819</v>
      </c>
      <c r="I29" s="228">
        <f>G29-H29</f>
        <v>347740</v>
      </c>
    </row>
    <row r="30" spans="1:16" ht="15" thickBot="1" x14ac:dyDescent="0.35">
      <c r="A30" s="222"/>
      <c r="B30" s="197"/>
      <c r="C30" s="62" t="s">
        <v>9</v>
      </c>
      <c r="D30" s="27">
        <v>418192</v>
      </c>
      <c r="E30" s="10">
        <f>47044+41000+60000</f>
        <v>148044</v>
      </c>
      <c r="F30" s="10">
        <f t="shared" si="1"/>
        <v>270148</v>
      </c>
      <c r="G30" s="223"/>
      <c r="H30" s="223"/>
      <c r="I30" s="225"/>
    </row>
    <row r="31" spans="1:16" x14ac:dyDescent="0.3">
      <c r="A31" s="226" t="s">
        <v>18</v>
      </c>
      <c r="B31" s="227">
        <v>45979</v>
      </c>
      <c r="C31" s="76" t="s">
        <v>8</v>
      </c>
      <c r="D31" s="30">
        <v>297894</v>
      </c>
      <c r="E31" s="11">
        <f>42500</f>
        <v>42500</v>
      </c>
      <c r="F31" s="11">
        <f>D31-E31</f>
        <v>255394</v>
      </c>
      <c r="G31" s="224">
        <f>D31+D32</f>
        <v>750866</v>
      </c>
      <c r="H31" s="224">
        <f>E31+E32</f>
        <v>75900</v>
      </c>
      <c r="I31" s="228">
        <f>G31-H31</f>
        <v>674966</v>
      </c>
    </row>
    <row r="32" spans="1:16" ht="15" thickBot="1" x14ac:dyDescent="0.35">
      <c r="A32" s="222"/>
      <c r="B32" s="197"/>
      <c r="C32" s="62" t="s">
        <v>9</v>
      </c>
      <c r="D32" s="27">
        <v>452972</v>
      </c>
      <c r="E32" s="10">
        <f>22000+11400</f>
        <v>33400</v>
      </c>
      <c r="F32" s="10">
        <f>D32-E32</f>
        <v>419572</v>
      </c>
      <c r="G32" s="223"/>
      <c r="H32" s="223"/>
      <c r="I32" s="225"/>
    </row>
    <row r="33" spans="1:17" x14ac:dyDescent="0.3">
      <c r="A33" s="226" t="s">
        <v>14</v>
      </c>
      <c r="B33" s="227">
        <v>45980</v>
      </c>
      <c r="C33" s="76" t="s">
        <v>8</v>
      </c>
      <c r="D33" s="30">
        <v>242064</v>
      </c>
      <c r="E33" s="11">
        <f>15100+70485</f>
        <v>85585</v>
      </c>
      <c r="F33" s="11">
        <f>D33-E33</f>
        <v>156479</v>
      </c>
      <c r="G33" s="224">
        <f>D33+D34</f>
        <v>501034</v>
      </c>
      <c r="H33" s="224">
        <f>E33+E34</f>
        <v>287928</v>
      </c>
      <c r="I33" s="228">
        <f>G33-H33</f>
        <v>213106</v>
      </c>
    </row>
    <row r="34" spans="1:17" ht="15" thickBot="1" x14ac:dyDescent="0.35">
      <c r="A34" s="222"/>
      <c r="B34" s="197"/>
      <c r="C34" s="62" t="s">
        <v>9</v>
      </c>
      <c r="D34" s="27">
        <v>258970</v>
      </c>
      <c r="E34" s="10">
        <v>202343</v>
      </c>
      <c r="F34" s="10">
        <f>D34-E34</f>
        <v>56627</v>
      </c>
      <c r="G34" s="223"/>
      <c r="H34" s="223"/>
      <c r="I34" s="225"/>
    </row>
    <row r="35" spans="1:17" s="1" customFormat="1" x14ac:dyDescent="0.3">
      <c r="A35" s="194" t="s">
        <v>15</v>
      </c>
      <c r="B35" s="227">
        <v>45981</v>
      </c>
      <c r="C35" s="61" t="s">
        <v>8</v>
      </c>
      <c r="D35" s="22">
        <v>327593</v>
      </c>
      <c r="E35" s="2">
        <f>148205</f>
        <v>148205</v>
      </c>
      <c r="F35" s="2">
        <f t="shared" ref="F35:F42" si="2">D35-E35</f>
        <v>179388</v>
      </c>
      <c r="G35" s="198">
        <f>D35+D36</f>
        <v>718820</v>
      </c>
      <c r="H35" s="198">
        <f>E35+E36</f>
        <v>197635</v>
      </c>
      <c r="I35" s="200">
        <f>G35-H35</f>
        <v>521185</v>
      </c>
      <c r="J35"/>
      <c r="K35"/>
      <c r="L35"/>
      <c r="M35"/>
      <c r="N35"/>
      <c r="O35"/>
      <c r="P35"/>
    </row>
    <row r="36" spans="1:17" s="1" customFormat="1" x14ac:dyDescent="0.3">
      <c r="A36" s="194"/>
      <c r="B36" s="197"/>
      <c r="C36" s="61" t="s">
        <v>9</v>
      </c>
      <c r="D36" s="22">
        <v>391227</v>
      </c>
      <c r="E36" s="2">
        <f>49430</f>
        <v>49430</v>
      </c>
      <c r="F36" s="2">
        <f t="shared" si="2"/>
        <v>341797</v>
      </c>
      <c r="G36" s="198"/>
      <c r="H36" s="198"/>
      <c r="I36" s="200"/>
      <c r="J36"/>
      <c r="K36"/>
      <c r="L36"/>
      <c r="M36"/>
      <c r="N36"/>
      <c r="O36"/>
      <c r="P36"/>
    </row>
    <row r="37" spans="1:17" x14ac:dyDescent="0.3">
      <c r="A37" s="194" t="s">
        <v>16</v>
      </c>
      <c r="B37" s="227">
        <v>45982</v>
      </c>
      <c r="C37" s="61" t="s">
        <v>8</v>
      </c>
      <c r="D37" s="22">
        <v>222362</v>
      </c>
      <c r="E37" s="2">
        <f>39500+85774+12100</f>
        <v>137374</v>
      </c>
      <c r="F37" s="2">
        <f t="shared" si="2"/>
        <v>84988</v>
      </c>
      <c r="G37" s="198">
        <f>D37+D38</f>
        <v>420487</v>
      </c>
      <c r="H37" s="198">
        <f>E37+E38</f>
        <v>187272</v>
      </c>
      <c r="I37" s="200">
        <f>G37-H37</f>
        <v>233215</v>
      </c>
    </row>
    <row r="38" spans="1:17" ht="15" thickBot="1" x14ac:dyDescent="0.35">
      <c r="A38" s="222"/>
      <c r="B38" s="197"/>
      <c r="C38" s="62" t="s">
        <v>9</v>
      </c>
      <c r="D38" s="27">
        <v>198125</v>
      </c>
      <c r="E38" s="10">
        <f>41998+7900</f>
        <v>49898</v>
      </c>
      <c r="F38" s="10">
        <f t="shared" si="2"/>
        <v>148227</v>
      </c>
      <c r="G38" s="223"/>
      <c r="H38" s="223"/>
      <c r="I38" s="225"/>
    </row>
    <row r="39" spans="1:17" ht="15" thickBot="1" x14ac:dyDescent="0.35">
      <c r="A39" s="202" t="s">
        <v>13</v>
      </c>
      <c r="B39" s="265">
        <v>45983</v>
      </c>
      <c r="C39" s="77" t="s">
        <v>8</v>
      </c>
      <c r="D39" s="35">
        <v>214167</v>
      </c>
      <c r="E39" s="36">
        <f>27440+753000</f>
        <v>780440</v>
      </c>
      <c r="F39" s="36">
        <f t="shared" si="2"/>
        <v>-566273</v>
      </c>
      <c r="G39" s="206">
        <f>D39+D40</f>
        <v>400201</v>
      </c>
      <c r="H39" s="206">
        <f>E39+E40</f>
        <v>860440</v>
      </c>
      <c r="I39" s="208">
        <f>G39-H39</f>
        <v>-460239</v>
      </c>
    </row>
    <row r="40" spans="1:17" ht="15" thickBot="1" x14ac:dyDescent="0.35">
      <c r="A40" s="203"/>
      <c r="B40" s="264"/>
      <c r="C40" s="78" t="s">
        <v>9</v>
      </c>
      <c r="D40" s="35">
        <v>186034</v>
      </c>
      <c r="E40" s="38">
        <v>80000</v>
      </c>
      <c r="F40" s="38">
        <f t="shared" si="2"/>
        <v>106034</v>
      </c>
      <c r="G40" s="207"/>
      <c r="H40" s="207"/>
      <c r="I40" s="209"/>
    </row>
    <row r="41" spans="1:17" ht="15" customHeight="1" x14ac:dyDescent="0.3">
      <c r="A41" s="358" t="s">
        <v>17</v>
      </c>
      <c r="B41" s="360">
        <v>45985</v>
      </c>
      <c r="C41" s="144" t="s">
        <v>8</v>
      </c>
      <c r="D41" s="145">
        <v>76348</v>
      </c>
      <c r="E41" s="146">
        <v>0</v>
      </c>
      <c r="F41" s="146">
        <f t="shared" si="2"/>
        <v>76348</v>
      </c>
      <c r="G41" s="362">
        <f>D41+D42</f>
        <v>197700</v>
      </c>
      <c r="H41" s="362">
        <f>E41+E42</f>
        <v>0</v>
      </c>
      <c r="I41" s="364">
        <f>G41-H41</f>
        <v>197700</v>
      </c>
      <c r="J41" s="357" t="s">
        <v>53</v>
      </c>
      <c r="M41" s="13" t="s">
        <v>2</v>
      </c>
      <c r="N41" s="12">
        <v>1</v>
      </c>
      <c r="P41" s="85"/>
      <c r="Q41" t="s">
        <v>52</v>
      </c>
    </row>
    <row r="42" spans="1:17" ht="15" thickBot="1" x14ac:dyDescent="0.35">
      <c r="A42" s="359"/>
      <c r="B42" s="361"/>
      <c r="C42" s="147" t="s">
        <v>9</v>
      </c>
      <c r="D42" s="148">
        <v>121352</v>
      </c>
      <c r="E42" s="149">
        <v>0</v>
      </c>
      <c r="F42" s="149">
        <f t="shared" si="2"/>
        <v>121352</v>
      </c>
      <c r="G42" s="363"/>
      <c r="H42" s="363"/>
      <c r="I42" s="365"/>
      <c r="J42" s="357"/>
      <c r="M42" s="14" t="s">
        <v>11</v>
      </c>
      <c r="N42" s="17">
        <f>H53*100/G53/100</f>
        <v>0.53023915276369527</v>
      </c>
      <c r="P42" s="43"/>
      <c r="Q42" t="s">
        <v>41</v>
      </c>
    </row>
    <row r="43" spans="1:17" x14ac:dyDescent="0.3">
      <c r="A43" s="226" t="s">
        <v>18</v>
      </c>
      <c r="B43" s="227">
        <v>45986</v>
      </c>
      <c r="C43" s="76" t="s">
        <v>8</v>
      </c>
      <c r="D43" s="30">
        <v>225766</v>
      </c>
      <c r="E43" s="11">
        <f>239444+14100</f>
        <v>253544</v>
      </c>
      <c r="F43" s="11">
        <f>D43-E43</f>
        <v>-27778</v>
      </c>
      <c r="G43" s="224">
        <f>D43+D44</f>
        <v>503577</v>
      </c>
      <c r="H43" s="224">
        <f>E43+E44</f>
        <v>466539</v>
      </c>
      <c r="I43" s="228">
        <f>G43-H43</f>
        <v>37038</v>
      </c>
      <c r="M43" s="15" t="s">
        <v>3</v>
      </c>
      <c r="N43" s="16">
        <f>(100%-N42)</f>
        <v>0.46976084723630473</v>
      </c>
    </row>
    <row r="44" spans="1:17" ht="15" thickBot="1" x14ac:dyDescent="0.35">
      <c r="A44" s="222"/>
      <c r="B44" s="197"/>
      <c r="C44" s="62" t="s">
        <v>9</v>
      </c>
      <c r="D44" s="27">
        <v>277811</v>
      </c>
      <c r="E44" s="10">
        <f>64795+148200</f>
        <v>212995</v>
      </c>
      <c r="F44" s="10">
        <f>D44-E44</f>
        <v>64816</v>
      </c>
      <c r="G44" s="223"/>
      <c r="H44" s="223"/>
      <c r="I44" s="225"/>
    </row>
    <row r="45" spans="1:17" x14ac:dyDescent="0.3">
      <c r="A45" s="226" t="s">
        <v>14</v>
      </c>
      <c r="B45" s="227">
        <v>45987</v>
      </c>
      <c r="C45" s="76" t="s">
        <v>8</v>
      </c>
      <c r="D45" s="30">
        <v>245748</v>
      </c>
      <c r="E45" s="11">
        <f>267795+7600+29600</f>
        <v>304995</v>
      </c>
      <c r="F45" s="11">
        <f>D45-E45</f>
        <v>-59247</v>
      </c>
      <c r="G45" s="224">
        <f>D45+D46</f>
        <v>486699</v>
      </c>
      <c r="H45" s="224">
        <f>E45+E46</f>
        <v>383495</v>
      </c>
      <c r="I45" s="228">
        <f>G45-H45</f>
        <v>103204</v>
      </c>
    </row>
    <row r="46" spans="1:17" ht="15" thickBot="1" x14ac:dyDescent="0.35">
      <c r="A46" s="222"/>
      <c r="B46" s="197"/>
      <c r="C46" s="62" t="s">
        <v>9</v>
      </c>
      <c r="D46" s="27">
        <v>240951</v>
      </c>
      <c r="E46" s="10">
        <f>5000+30000+43500</f>
        <v>78500</v>
      </c>
      <c r="F46" s="10">
        <f>D46-E46</f>
        <v>162451</v>
      </c>
      <c r="G46" s="223"/>
      <c r="H46" s="223"/>
      <c r="I46" s="225"/>
    </row>
    <row r="47" spans="1:17" s="1" customFormat="1" x14ac:dyDescent="0.3">
      <c r="A47" s="194" t="s">
        <v>15</v>
      </c>
      <c r="B47" s="227">
        <v>45988</v>
      </c>
      <c r="C47" s="61" t="s">
        <v>8</v>
      </c>
      <c r="D47" s="22">
        <v>344449</v>
      </c>
      <c r="E47" s="2">
        <f>232106+60766</f>
        <v>292872</v>
      </c>
      <c r="F47" s="2">
        <f t="shared" ref="F47:F52" si="3">D47-E47</f>
        <v>51577</v>
      </c>
      <c r="G47" s="198">
        <f>D47+D48</f>
        <v>723665</v>
      </c>
      <c r="H47" s="198">
        <f>E47+E48</f>
        <v>384512</v>
      </c>
      <c r="I47" s="200">
        <f>G47-H47</f>
        <v>339153</v>
      </c>
      <c r="J47"/>
      <c r="K47"/>
      <c r="L47"/>
      <c r="M47"/>
      <c r="N47"/>
      <c r="O47"/>
      <c r="P47"/>
    </row>
    <row r="48" spans="1:17" s="1" customFormat="1" x14ac:dyDescent="0.3">
      <c r="A48" s="194"/>
      <c r="B48" s="197"/>
      <c r="C48" s="61" t="s">
        <v>9</v>
      </c>
      <c r="D48" s="22">
        <v>379216</v>
      </c>
      <c r="E48" s="2">
        <f>70000+14100+7540</f>
        <v>91640</v>
      </c>
      <c r="F48" s="2">
        <f t="shared" si="3"/>
        <v>287576</v>
      </c>
      <c r="G48" s="198"/>
      <c r="H48" s="198"/>
      <c r="I48" s="200"/>
      <c r="J48"/>
      <c r="K48"/>
      <c r="L48"/>
      <c r="M48"/>
      <c r="N48"/>
      <c r="O48"/>
      <c r="P48"/>
    </row>
    <row r="49" spans="1:17" x14ac:dyDescent="0.3">
      <c r="A49" s="194" t="s">
        <v>16</v>
      </c>
      <c r="B49" s="227">
        <v>45989</v>
      </c>
      <c r="C49" s="61" t="s">
        <v>8</v>
      </c>
      <c r="D49" s="22">
        <v>410119</v>
      </c>
      <c r="E49" s="2">
        <f>188107</f>
        <v>188107</v>
      </c>
      <c r="F49" s="2">
        <f t="shared" si="3"/>
        <v>222012</v>
      </c>
      <c r="G49" s="198">
        <f>D49+D50</f>
        <v>803001</v>
      </c>
      <c r="H49" s="198">
        <f>E49+E50</f>
        <v>250830</v>
      </c>
      <c r="I49" s="200">
        <f>G49-H49</f>
        <v>552171</v>
      </c>
    </row>
    <row r="50" spans="1:17" ht="15" thickBot="1" x14ac:dyDescent="0.35">
      <c r="A50" s="222"/>
      <c r="B50" s="197"/>
      <c r="C50" s="62" t="s">
        <v>9</v>
      </c>
      <c r="D50" s="27">
        <v>392882</v>
      </c>
      <c r="E50" s="10">
        <f>62723</f>
        <v>62723</v>
      </c>
      <c r="F50" s="10">
        <f t="shared" si="3"/>
        <v>330159</v>
      </c>
      <c r="G50" s="223"/>
      <c r="H50" s="223"/>
      <c r="I50" s="225"/>
    </row>
    <row r="51" spans="1:17" x14ac:dyDescent="0.3">
      <c r="A51" s="317" t="s">
        <v>13</v>
      </c>
      <c r="B51" s="319">
        <v>45990</v>
      </c>
      <c r="C51" s="109" t="s">
        <v>8</v>
      </c>
      <c r="D51" s="110">
        <v>266398</v>
      </c>
      <c r="E51" s="111">
        <v>41500</v>
      </c>
      <c r="F51" s="111">
        <f t="shared" si="3"/>
        <v>224898</v>
      </c>
      <c r="G51" s="321">
        <f>D51+D52</f>
        <v>616084</v>
      </c>
      <c r="H51" s="346">
        <f>E51+E52</f>
        <v>41500</v>
      </c>
      <c r="I51" s="323">
        <f>G51-H51</f>
        <v>574584</v>
      </c>
    </row>
    <row r="52" spans="1:17" ht="15" thickBot="1" x14ac:dyDescent="0.35">
      <c r="A52" s="318"/>
      <c r="B52" s="320"/>
      <c r="C52" s="112" t="s">
        <v>9</v>
      </c>
      <c r="D52" s="113">
        <v>349686</v>
      </c>
      <c r="E52" s="114">
        <v>0</v>
      </c>
      <c r="F52" s="114">
        <f t="shared" si="3"/>
        <v>349686</v>
      </c>
      <c r="G52" s="322"/>
      <c r="H52" s="347"/>
      <c r="I52" s="324"/>
    </row>
    <row r="53" spans="1:17" s="1" customFormat="1" ht="15" thickBot="1" x14ac:dyDescent="0.35">
      <c r="A53"/>
      <c r="B53" s="277" t="s">
        <v>10</v>
      </c>
      <c r="C53" s="366"/>
      <c r="D53" s="143">
        <f t="shared" ref="D53:I53" si="4">SUM(D3:D52)</f>
        <v>17439857</v>
      </c>
      <c r="E53" s="50">
        <f t="shared" si="4"/>
        <v>9247295</v>
      </c>
      <c r="F53" s="50">
        <f t="shared" si="4"/>
        <v>8192562</v>
      </c>
      <c r="G53" s="50">
        <f t="shared" si="4"/>
        <v>17439857</v>
      </c>
      <c r="H53" s="50">
        <f t="shared" si="4"/>
        <v>9247295</v>
      </c>
      <c r="I53" s="50">
        <f t="shared" si="4"/>
        <v>8192562</v>
      </c>
      <c r="J53"/>
      <c r="K53" s="39"/>
      <c r="L53"/>
      <c r="M53"/>
      <c r="N53"/>
      <c r="O53"/>
      <c r="P53"/>
    </row>
    <row r="54" spans="1:17" s="1" customFormat="1" x14ac:dyDescent="0.3">
      <c r="A54"/>
      <c r="J54"/>
      <c r="K54" s="39"/>
      <c r="L54"/>
      <c r="M54"/>
      <c r="N54"/>
      <c r="O54"/>
      <c r="P54"/>
    </row>
    <row r="55" spans="1:17" s="1" customFormat="1" x14ac:dyDescent="0.3">
      <c r="A55"/>
      <c r="J55"/>
      <c r="K55" s="39"/>
      <c r="L55"/>
      <c r="M55"/>
      <c r="N55"/>
      <c r="O55"/>
      <c r="P55"/>
    </row>
    <row r="56" spans="1:17" s="1" customFormat="1" x14ac:dyDescent="0.3">
      <c r="A56"/>
      <c r="J56"/>
      <c r="K56" s="39"/>
      <c r="L56"/>
      <c r="M56"/>
      <c r="N56"/>
      <c r="O56"/>
      <c r="P56"/>
    </row>
    <row r="57" spans="1:17" x14ac:dyDescent="0.3">
      <c r="K57" s="39"/>
    </row>
    <row r="58" spans="1:17" x14ac:dyDescent="0.3">
      <c r="D58" s="20" t="s">
        <v>21</v>
      </c>
      <c r="E58" s="2">
        <f>MAXA(D3:D40)</f>
        <v>702569</v>
      </c>
      <c r="F58" s="283">
        <v>45751</v>
      </c>
      <c r="G58" s="187"/>
      <c r="K58" s="39"/>
    </row>
    <row r="59" spans="1:17" x14ac:dyDescent="0.3">
      <c r="D59" s="21" t="s">
        <v>22</v>
      </c>
      <c r="E59" s="2">
        <f>IF(MINA(D3:D30)&lt;&gt;0, MINA(D3:D8))</f>
        <v>312425</v>
      </c>
      <c r="F59" s="283">
        <v>45749</v>
      </c>
      <c r="G59" s="187"/>
      <c r="K59" s="39"/>
    </row>
    <row r="60" spans="1:17" s="1" customFormat="1" x14ac:dyDescent="0.3">
      <c r="A60"/>
      <c r="C60" s="1" t="s">
        <v>20</v>
      </c>
      <c r="J60"/>
      <c r="K60"/>
      <c r="L60"/>
      <c r="M60"/>
      <c r="N60"/>
    </row>
    <row r="61" spans="1:17" x14ac:dyDescent="0.3">
      <c r="D61" s="192" t="s">
        <v>36</v>
      </c>
      <c r="E61" s="18" t="e">
        <f>AVERAGEA(#REF!)</f>
        <v>#REF!</v>
      </c>
      <c r="F61" s="187" t="s">
        <v>23</v>
      </c>
      <c r="G61" s="187"/>
      <c r="I61" s="193" t="s">
        <v>37</v>
      </c>
      <c r="J61" s="18" t="e">
        <f>AVERAGEA(#REF!)</f>
        <v>#REF!</v>
      </c>
      <c r="K61" s="187" t="s">
        <v>23</v>
      </c>
      <c r="L61" s="187"/>
      <c r="N61" s="188" t="s">
        <v>38</v>
      </c>
      <c r="O61" s="18" t="e">
        <f>AVERAGEA(#REF!)</f>
        <v>#REF!</v>
      </c>
      <c r="P61" s="187" t="s">
        <v>23</v>
      </c>
      <c r="Q61" s="187"/>
    </row>
    <row r="62" spans="1:17" x14ac:dyDescent="0.3">
      <c r="D62" s="192"/>
      <c r="E62" s="18">
        <f>AVERAGEA(G3:G4)</f>
        <v>774525</v>
      </c>
      <c r="F62" s="187" t="s">
        <v>24</v>
      </c>
      <c r="G62" s="187"/>
      <c r="I62" s="193"/>
      <c r="J62" s="18">
        <f>AVERAGEA(H3:H4)</f>
        <v>105000</v>
      </c>
      <c r="K62" s="187" t="s">
        <v>24</v>
      </c>
      <c r="L62" s="187"/>
      <c r="N62" s="188"/>
      <c r="O62" s="18">
        <f>AVERAGEA(F3:F4)</f>
        <v>334762.5</v>
      </c>
      <c r="P62" s="187" t="s">
        <v>24</v>
      </c>
      <c r="Q62" s="187"/>
    </row>
    <row r="63" spans="1:17" x14ac:dyDescent="0.3">
      <c r="D63" s="192"/>
      <c r="E63" s="18">
        <f>AVERAGEA(G5:G16)</f>
        <v>928660.83333333337</v>
      </c>
      <c r="F63" s="187" t="s">
        <v>25</v>
      </c>
      <c r="G63" s="187"/>
      <c r="I63" s="193"/>
      <c r="J63" s="18">
        <f>AVERAGEA(H5:H16)</f>
        <v>525506.5</v>
      </c>
      <c r="K63" s="187" t="s">
        <v>25</v>
      </c>
      <c r="L63" s="187"/>
      <c r="N63" s="188"/>
      <c r="O63" s="18">
        <f>AVERAGEA(F5:F16)</f>
        <v>201577.16666666666</v>
      </c>
      <c r="P63" s="187" t="s">
        <v>25</v>
      </c>
      <c r="Q63" s="187"/>
    </row>
    <row r="64" spans="1:17" x14ac:dyDescent="0.3">
      <c r="D64" s="192"/>
      <c r="E64" s="18">
        <f>AVERAGEA(G17:G28)</f>
        <v>708112.33333333337</v>
      </c>
      <c r="F64" s="184" t="s">
        <v>26</v>
      </c>
      <c r="G64" s="185"/>
      <c r="I64" s="193"/>
      <c r="J64" s="18">
        <f>AVERAGEA(H17:H28)</f>
        <v>413064.33333333331</v>
      </c>
      <c r="K64" s="184" t="s">
        <v>26</v>
      </c>
      <c r="L64" s="185"/>
      <c r="N64" s="188"/>
      <c r="O64" s="18">
        <f>AVERAGEA(F17:F28)</f>
        <v>147524</v>
      </c>
      <c r="P64" s="184" t="s">
        <v>26</v>
      </c>
      <c r="Q64" s="185"/>
    </row>
    <row r="65" spans="1:17" x14ac:dyDescent="0.3">
      <c r="D65" s="192"/>
      <c r="E65" s="18">
        <f>AVERAGEA(G29:G36)</f>
        <v>673319.75</v>
      </c>
      <c r="F65" s="184" t="s">
        <v>34</v>
      </c>
      <c r="G65" s="185"/>
      <c r="I65" s="193"/>
      <c r="J65" s="18">
        <f>AVERAGEA(H29:H36)</f>
        <v>234070.5</v>
      </c>
      <c r="K65" s="184" t="s">
        <v>34</v>
      </c>
      <c r="L65" s="185"/>
      <c r="N65" s="188"/>
      <c r="O65" s="18">
        <f>AVERAGEA(I29:I36)</f>
        <v>439249.25</v>
      </c>
      <c r="P65" s="184" t="s">
        <v>34</v>
      </c>
      <c r="Q65" s="185"/>
    </row>
    <row r="66" spans="1:17" x14ac:dyDescent="0.3">
      <c r="D66" s="192"/>
      <c r="E66" s="28" t="e">
        <f>AVERAGEA(E61:E64)</f>
        <v>#REF!</v>
      </c>
      <c r="F66" s="186" t="s">
        <v>10</v>
      </c>
      <c r="G66" s="186"/>
      <c r="I66" s="193"/>
      <c r="J66" s="28" t="e">
        <f>AVERAGEA(J61:J64)</f>
        <v>#REF!</v>
      </c>
      <c r="K66" s="186" t="s">
        <v>10</v>
      </c>
      <c r="L66" s="186"/>
      <c r="N66" s="189"/>
      <c r="O66" s="28" t="e">
        <f>AVERAGEA(O61:O64)</f>
        <v>#REF!</v>
      </c>
      <c r="P66" s="186" t="s">
        <v>10</v>
      </c>
      <c r="Q66" s="186"/>
    </row>
    <row r="68" spans="1:17" x14ac:dyDescent="0.3">
      <c r="D68"/>
      <c r="E68"/>
      <c r="F68"/>
      <c r="G68"/>
      <c r="H68"/>
      <c r="I68"/>
    </row>
    <row r="69" spans="1:17" s="1" customFormat="1" x14ac:dyDescent="0.3">
      <c r="A69"/>
      <c r="D69"/>
      <c r="E69"/>
      <c r="F69"/>
      <c r="G69"/>
      <c r="H69"/>
      <c r="I69"/>
      <c r="J69"/>
      <c r="K69"/>
      <c r="L69"/>
      <c r="M69"/>
      <c r="N69"/>
    </row>
    <row r="70" spans="1:17" x14ac:dyDescent="0.3">
      <c r="D70"/>
      <c r="E70"/>
      <c r="F70"/>
      <c r="G70"/>
      <c r="H70"/>
      <c r="I70"/>
    </row>
    <row r="71" spans="1:17" ht="27" customHeight="1" x14ac:dyDescent="0.3">
      <c r="D71"/>
      <c r="E71"/>
      <c r="F71"/>
      <c r="G71"/>
      <c r="H71"/>
      <c r="I71"/>
    </row>
    <row r="72" spans="1:17" x14ac:dyDescent="0.3">
      <c r="D72"/>
      <c r="E72"/>
      <c r="F72"/>
      <c r="G72"/>
      <c r="H72"/>
      <c r="I72"/>
    </row>
    <row r="73" spans="1:17" x14ac:dyDescent="0.3">
      <c r="D73"/>
      <c r="E73"/>
      <c r="F73"/>
      <c r="G73"/>
      <c r="H73"/>
      <c r="I73"/>
    </row>
    <row r="74" spans="1:17" x14ac:dyDescent="0.3">
      <c r="D74"/>
      <c r="E74"/>
      <c r="F74"/>
      <c r="G74"/>
      <c r="H74"/>
      <c r="I74"/>
    </row>
    <row r="75" spans="1:17" x14ac:dyDescent="0.3">
      <c r="D75"/>
      <c r="E75"/>
      <c r="F75"/>
      <c r="G75"/>
      <c r="H75"/>
      <c r="I75"/>
    </row>
    <row r="76" spans="1:17" x14ac:dyDescent="0.3">
      <c r="D76"/>
      <c r="E76"/>
      <c r="F76"/>
      <c r="G76"/>
      <c r="H76"/>
      <c r="I76"/>
    </row>
    <row r="77" spans="1:17" x14ac:dyDescent="0.3">
      <c r="D77"/>
      <c r="E77"/>
      <c r="F77"/>
      <c r="G77"/>
      <c r="H77"/>
      <c r="I77"/>
    </row>
    <row r="78" spans="1:17" x14ac:dyDescent="0.3">
      <c r="D78"/>
      <c r="E78"/>
      <c r="F78"/>
      <c r="G78"/>
      <c r="H78"/>
      <c r="I78"/>
    </row>
  </sheetData>
  <autoFilter ref="B2:I18" xr:uid="{00000000-0009-0000-0000-000001000000}"/>
  <mergeCells count="156">
    <mergeCell ref="F63:G63"/>
    <mergeCell ref="I49:I50"/>
    <mergeCell ref="A51:A52"/>
    <mergeCell ref="B51:B52"/>
    <mergeCell ref="G51:G52"/>
    <mergeCell ref="H51:H52"/>
    <mergeCell ref="I51:I52"/>
    <mergeCell ref="K64:L64"/>
    <mergeCell ref="P64:Q64"/>
    <mergeCell ref="F65:G65"/>
    <mergeCell ref="K65:L65"/>
    <mergeCell ref="P65:Q65"/>
    <mergeCell ref="B53:C53"/>
    <mergeCell ref="F58:G58"/>
    <mergeCell ref="F59:G59"/>
    <mergeCell ref="D61:D66"/>
    <mergeCell ref="F66:G66"/>
    <mergeCell ref="K66:L66"/>
    <mergeCell ref="P66:Q66"/>
    <mergeCell ref="K61:L61"/>
    <mergeCell ref="N61:N66"/>
    <mergeCell ref="P61:Q61"/>
    <mergeCell ref="F62:G62"/>
    <mergeCell ref="K62:L62"/>
    <mergeCell ref="P62:Q62"/>
    <mergeCell ref="K63:L63"/>
    <mergeCell ref="P63:Q63"/>
    <mergeCell ref="F64:G64"/>
    <mergeCell ref="F61:G61"/>
    <mergeCell ref="I61:I66"/>
    <mergeCell ref="A43:A44"/>
    <mergeCell ref="B43:B44"/>
    <mergeCell ref="G43:G44"/>
    <mergeCell ref="H43:H44"/>
    <mergeCell ref="I43:I44"/>
    <mergeCell ref="A45:A46"/>
    <mergeCell ref="B45:B46"/>
    <mergeCell ref="G45:G46"/>
    <mergeCell ref="H45:H46"/>
    <mergeCell ref="I45:I46"/>
    <mergeCell ref="A47:A48"/>
    <mergeCell ref="B47:B48"/>
    <mergeCell ref="G47:G48"/>
    <mergeCell ref="H47:H48"/>
    <mergeCell ref="I47:I48"/>
    <mergeCell ref="A49:A50"/>
    <mergeCell ref="B49:B50"/>
    <mergeCell ref="G49:G50"/>
    <mergeCell ref="H49:H50"/>
    <mergeCell ref="A39:A40"/>
    <mergeCell ref="B39:B40"/>
    <mergeCell ref="G39:G40"/>
    <mergeCell ref="H39:H40"/>
    <mergeCell ref="I39:I40"/>
    <mergeCell ref="A41:A42"/>
    <mergeCell ref="B41:B42"/>
    <mergeCell ref="G41:G42"/>
    <mergeCell ref="H41:H42"/>
    <mergeCell ref="I41:I42"/>
    <mergeCell ref="A35:A36"/>
    <mergeCell ref="B35:B36"/>
    <mergeCell ref="G35:G36"/>
    <mergeCell ref="H35:H36"/>
    <mergeCell ref="I35:I36"/>
    <mergeCell ref="A37:A38"/>
    <mergeCell ref="B37:B38"/>
    <mergeCell ref="G37:G38"/>
    <mergeCell ref="H37:H38"/>
    <mergeCell ref="I37:I38"/>
    <mergeCell ref="A31:A32"/>
    <mergeCell ref="B31:B32"/>
    <mergeCell ref="G31:G32"/>
    <mergeCell ref="H31:H32"/>
    <mergeCell ref="I31:I32"/>
    <mergeCell ref="A33:A34"/>
    <mergeCell ref="B33:B34"/>
    <mergeCell ref="G33:G34"/>
    <mergeCell ref="H33:H34"/>
    <mergeCell ref="I33:I34"/>
    <mergeCell ref="A27:A28"/>
    <mergeCell ref="B27:B28"/>
    <mergeCell ref="G27:G28"/>
    <mergeCell ref="H27:H28"/>
    <mergeCell ref="I27:I28"/>
    <mergeCell ref="A29:A30"/>
    <mergeCell ref="B29:B30"/>
    <mergeCell ref="G29:G30"/>
    <mergeCell ref="H29:H30"/>
    <mergeCell ref="I29:I30"/>
    <mergeCell ref="A23:A24"/>
    <mergeCell ref="B23:B24"/>
    <mergeCell ref="G23:G24"/>
    <mergeCell ref="H23:H24"/>
    <mergeCell ref="I23:I24"/>
    <mergeCell ref="A25:A26"/>
    <mergeCell ref="B25:B26"/>
    <mergeCell ref="G25:G26"/>
    <mergeCell ref="H25:H26"/>
    <mergeCell ref="I25:I26"/>
    <mergeCell ref="A19:A20"/>
    <mergeCell ref="B19:B20"/>
    <mergeCell ref="G19:G20"/>
    <mergeCell ref="H19:H20"/>
    <mergeCell ref="I19:I20"/>
    <mergeCell ref="A21:A22"/>
    <mergeCell ref="B21:B22"/>
    <mergeCell ref="G21:G22"/>
    <mergeCell ref="H21:H22"/>
    <mergeCell ref="I21:I22"/>
    <mergeCell ref="A15:A16"/>
    <mergeCell ref="B15:B16"/>
    <mergeCell ref="G15:G16"/>
    <mergeCell ref="H15:H16"/>
    <mergeCell ref="I15:I16"/>
    <mergeCell ref="A17:A18"/>
    <mergeCell ref="B17:B18"/>
    <mergeCell ref="G17:G18"/>
    <mergeCell ref="H17:H18"/>
    <mergeCell ref="I17:I18"/>
    <mergeCell ref="G13:G14"/>
    <mergeCell ref="H13:H14"/>
    <mergeCell ref="I13:I14"/>
    <mergeCell ref="A9:A10"/>
    <mergeCell ref="B9:B10"/>
    <mergeCell ref="G9:G10"/>
    <mergeCell ref="H9:H10"/>
    <mergeCell ref="I9:I10"/>
    <mergeCell ref="A11:A12"/>
    <mergeCell ref="B11:B12"/>
    <mergeCell ref="G11:G12"/>
    <mergeCell ref="H11:H12"/>
    <mergeCell ref="I11:I12"/>
    <mergeCell ref="J41:J42"/>
    <mergeCell ref="A3:A4"/>
    <mergeCell ref="B3:B4"/>
    <mergeCell ref="G3:G4"/>
    <mergeCell ref="H3:H4"/>
    <mergeCell ref="I3:I4"/>
    <mergeCell ref="A1:A2"/>
    <mergeCell ref="B1:B2"/>
    <mergeCell ref="C1:C2"/>
    <mergeCell ref="D1:F1"/>
    <mergeCell ref="G1:I1"/>
    <mergeCell ref="A5:A6"/>
    <mergeCell ref="B5:B6"/>
    <mergeCell ref="G5:G6"/>
    <mergeCell ref="H5:H6"/>
    <mergeCell ref="I5:I6"/>
    <mergeCell ref="A7:A8"/>
    <mergeCell ref="B7:B8"/>
    <mergeCell ref="G7:G8"/>
    <mergeCell ref="H7:H8"/>
    <mergeCell ref="I7:I8"/>
    <mergeCell ref="J13:J14"/>
    <mergeCell ref="A13:A14"/>
    <mergeCell ref="B13:B14"/>
  </mergeCells>
  <pageMargins left="0.7" right="0.7" top="0.75" bottom="0.75" header="0.3" footer="0.3"/>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8DF2D-C22F-42F0-A7F1-6F3E1DB1A07B}">
  <sheetPr>
    <tabColor theme="2" tint="-9.9978637043366805E-2"/>
  </sheetPr>
  <dimension ref="A1:Q82"/>
  <sheetViews>
    <sheetView showGridLines="0" zoomScale="85" zoomScaleNormal="85" workbookViewId="0">
      <pane xSplit="3" ySplit="2" topLeftCell="D35" activePane="bottomRight" state="frozen"/>
      <selection activeCell="S39" sqref="S39"/>
      <selection pane="topRight" activeCell="S39" sqref="S39"/>
      <selection pane="bottomLeft" activeCell="S39" sqref="S39"/>
      <selection pane="bottomRight" activeCell="S39" sqref="S39"/>
    </sheetView>
  </sheetViews>
  <sheetFormatPr baseColWidth="10" defaultRowHeight="14.4" x14ac:dyDescent="0.3"/>
  <cols>
    <col min="1" max="1" width="8.88671875" customWidth="1"/>
    <col min="2" max="2" width="12.44140625" style="1" customWidth="1"/>
    <col min="3" max="3" width="8.88671875" style="1" customWidth="1"/>
    <col min="4" max="4" width="13.33203125" style="1" customWidth="1"/>
    <col min="5" max="5" width="13.5546875" style="1" customWidth="1"/>
    <col min="6" max="6" width="11.33203125" style="1" customWidth="1"/>
    <col min="7" max="7" width="13.88671875" style="1" customWidth="1"/>
    <col min="8" max="8" width="13.44140625" style="1" customWidth="1"/>
    <col min="9" max="9" width="11.88671875" style="1" customWidth="1"/>
    <col min="10" max="10" width="12" bestFit="1" customWidth="1"/>
    <col min="11" max="11" width="12.33203125" bestFit="1" customWidth="1"/>
  </cols>
  <sheetData>
    <row r="1" spans="1:16" x14ac:dyDescent="0.3">
      <c r="A1" s="241" t="s">
        <v>12</v>
      </c>
      <c r="B1" s="241" t="s">
        <v>0</v>
      </c>
      <c r="C1" s="241" t="s">
        <v>1</v>
      </c>
      <c r="D1" s="243" t="s">
        <v>7</v>
      </c>
      <c r="E1" s="244"/>
      <c r="F1" s="244"/>
      <c r="G1" s="245" t="s">
        <v>10</v>
      </c>
      <c r="H1" s="246"/>
      <c r="I1" s="247"/>
    </row>
    <row r="2" spans="1:16" ht="15" thickBot="1" x14ac:dyDescent="0.35">
      <c r="A2" s="242"/>
      <c r="B2" s="242"/>
      <c r="C2" s="242"/>
      <c r="D2" s="4" t="s">
        <v>4</v>
      </c>
      <c r="E2" s="5" t="s">
        <v>5</v>
      </c>
      <c r="F2" s="7" t="s">
        <v>6</v>
      </c>
      <c r="G2" s="8" t="s">
        <v>2</v>
      </c>
      <c r="H2" s="5" t="s">
        <v>11</v>
      </c>
      <c r="I2" s="9" t="s">
        <v>3</v>
      </c>
    </row>
    <row r="3" spans="1:16" s="1" customFormat="1" x14ac:dyDescent="0.3">
      <c r="A3" s="219" t="s">
        <v>17</v>
      </c>
      <c r="B3" s="196">
        <v>45992</v>
      </c>
      <c r="C3" s="60" t="s">
        <v>8</v>
      </c>
      <c r="D3" s="23">
        <v>324021</v>
      </c>
      <c r="E3" s="3">
        <f>205294</f>
        <v>205294</v>
      </c>
      <c r="F3" s="3">
        <f>D3-E3</f>
        <v>118727</v>
      </c>
      <c r="G3" s="220">
        <f>D3+D4</f>
        <v>716210</v>
      </c>
      <c r="H3" s="220">
        <f>E3+E4</f>
        <v>256563</v>
      </c>
      <c r="I3" s="221">
        <f>G3-H3</f>
        <v>459647</v>
      </c>
      <c r="J3"/>
      <c r="K3"/>
      <c r="L3"/>
      <c r="M3"/>
      <c r="N3"/>
      <c r="O3"/>
      <c r="P3"/>
    </row>
    <row r="4" spans="1:16" s="1" customFormat="1" ht="15" thickBot="1" x14ac:dyDescent="0.35">
      <c r="A4" s="194"/>
      <c r="B4" s="197"/>
      <c r="C4" s="61" t="s">
        <v>9</v>
      </c>
      <c r="D4" s="22">
        <v>392189</v>
      </c>
      <c r="E4" s="2">
        <f>36269+5000+10000</f>
        <v>51269</v>
      </c>
      <c r="F4" s="2">
        <f>D4-E4</f>
        <v>340920</v>
      </c>
      <c r="G4" s="198"/>
      <c r="H4" s="198"/>
      <c r="I4" s="200"/>
      <c r="J4"/>
      <c r="K4"/>
      <c r="L4"/>
      <c r="M4"/>
      <c r="N4"/>
      <c r="O4"/>
      <c r="P4"/>
    </row>
    <row r="5" spans="1:16" s="1" customFormat="1" x14ac:dyDescent="0.3">
      <c r="A5" s="219" t="s">
        <v>18</v>
      </c>
      <c r="B5" s="196">
        <v>45993</v>
      </c>
      <c r="C5" s="60" t="s">
        <v>8</v>
      </c>
      <c r="D5" s="23">
        <v>418926</v>
      </c>
      <c r="E5" s="3">
        <f>52998+170724+14400+30000</f>
        <v>268122</v>
      </c>
      <c r="F5" s="3">
        <f t="shared" ref="F5:F16" si="0">D5-E5</f>
        <v>150804</v>
      </c>
      <c r="G5" s="220">
        <f>D5+D6</f>
        <v>804382</v>
      </c>
      <c r="H5" s="220">
        <f>E5+E6</f>
        <v>559822</v>
      </c>
      <c r="I5" s="221">
        <f>G5-H5</f>
        <v>244560</v>
      </c>
      <c r="K5"/>
      <c r="L5"/>
      <c r="M5"/>
      <c r="N5"/>
      <c r="O5"/>
      <c r="P5"/>
    </row>
    <row r="6" spans="1:16" s="1" customFormat="1" ht="15" thickBot="1" x14ac:dyDescent="0.35">
      <c r="A6" s="194"/>
      <c r="B6" s="197"/>
      <c r="C6" s="61" t="s">
        <v>9</v>
      </c>
      <c r="D6" s="22">
        <v>385456</v>
      </c>
      <c r="E6" s="2">
        <f>39000+49500+7600+30000+29600+35500+100500</f>
        <v>291700</v>
      </c>
      <c r="F6" s="2">
        <f t="shared" si="0"/>
        <v>93756</v>
      </c>
      <c r="G6" s="198"/>
      <c r="H6" s="198"/>
      <c r="I6" s="200"/>
      <c r="K6"/>
      <c r="L6"/>
      <c r="M6"/>
      <c r="N6"/>
      <c r="O6"/>
      <c r="P6"/>
    </row>
    <row r="7" spans="1:16" s="1" customFormat="1" ht="14.25" customHeight="1" x14ac:dyDescent="0.3">
      <c r="A7" s="219" t="s">
        <v>19</v>
      </c>
      <c r="B7" s="196">
        <v>45994</v>
      </c>
      <c r="C7" s="60" t="s">
        <v>8</v>
      </c>
      <c r="D7" s="23">
        <v>300222</v>
      </c>
      <c r="E7" s="3">
        <v>134815</v>
      </c>
      <c r="F7" s="3">
        <f t="shared" si="0"/>
        <v>165407</v>
      </c>
      <c r="G7" s="220">
        <f>D7+D8</f>
        <v>658202</v>
      </c>
      <c r="H7" s="220">
        <f>E7+E8</f>
        <v>134815</v>
      </c>
      <c r="I7" s="221">
        <f>G7-H7</f>
        <v>523387</v>
      </c>
      <c r="J7"/>
      <c r="K7"/>
      <c r="L7"/>
      <c r="O7"/>
      <c r="P7"/>
    </row>
    <row r="8" spans="1:16" s="1" customFormat="1" ht="15" thickBot="1" x14ac:dyDescent="0.35">
      <c r="A8" s="194"/>
      <c r="B8" s="197"/>
      <c r="C8" s="61" t="s">
        <v>9</v>
      </c>
      <c r="D8" s="22">
        <v>357980</v>
      </c>
      <c r="E8" s="2">
        <v>0</v>
      </c>
      <c r="F8" s="2">
        <f t="shared" si="0"/>
        <v>357980</v>
      </c>
      <c r="G8" s="198"/>
      <c r="H8" s="198"/>
      <c r="I8" s="200"/>
      <c r="J8"/>
      <c r="K8"/>
      <c r="L8"/>
      <c r="O8"/>
      <c r="P8"/>
    </row>
    <row r="9" spans="1:16" s="1" customFormat="1" x14ac:dyDescent="0.3">
      <c r="A9" s="219" t="s">
        <v>15</v>
      </c>
      <c r="B9" s="196">
        <v>45995</v>
      </c>
      <c r="C9" s="60" t="s">
        <v>8</v>
      </c>
      <c r="D9" s="23">
        <v>334921</v>
      </c>
      <c r="E9" s="3">
        <f>435151</f>
        <v>435151</v>
      </c>
      <c r="F9" s="3">
        <f>D9-E9</f>
        <v>-100230</v>
      </c>
      <c r="G9" s="220">
        <f>D9+D10</f>
        <v>616721</v>
      </c>
      <c r="H9" s="220">
        <f>E9+E10</f>
        <v>704929</v>
      </c>
      <c r="I9" s="221">
        <f>G9-H9</f>
        <v>-88208</v>
      </c>
      <c r="K9"/>
      <c r="L9"/>
      <c r="O9"/>
      <c r="P9"/>
    </row>
    <row r="10" spans="1:16" s="1" customFormat="1" ht="15" thickBot="1" x14ac:dyDescent="0.35">
      <c r="A10" s="194"/>
      <c r="B10" s="197"/>
      <c r="C10" s="61" t="s">
        <v>9</v>
      </c>
      <c r="D10" s="22">
        <v>281800</v>
      </c>
      <c r="E10" s="2">
        <f>7600+18600+92758+62600+68220+20000</f>
        <v>269778</v>
      </c>
      <c r="F10" s="2">
        <f>D10-E10</f>
        <v>12022</v>
      </c>
      <c r="G10" s="198"/>
      <c r="H10" s="198"/>
      <c r="I10" s="200"/>
      <c r="K10"/>
      <c r="L10"/>
      <c r="M10"/>
      <c r="N10"/>
      <c r="O10"/>
      <c r="P10"/>
    </row>
    <row r="11" spans="1:16" x14ac:dyDescent="0.3">
      <c r="A11" s="219" t="s">
        <v>16</v>
      </c>
      <c r="B11" s="196">
        <v>45996</v>
      </c>
      <c r="C11" s="60" t="s">
        <v>8</v>
      </c>
      <c r="D11" s="23">
        <v>330913</v>
      </c>
      <c r="E11" s="3">
        <f>274928+44380+88241+27500</f>
        <v>435049</v>
      </c>
      <c r="F11" s="3">
        <f>D11-E11</f>
        <v>-104136</v>
      </c>
      <c r="G11" s="220">
        <f>D11+D12</f>
        <v>712820</v>
      </c>
      <c r="H11" s="220">
        <f>E11+E12</f>
        <v>1103849</v>
      </c>
      <c r="I11" s="221">
        <f>G11-H11</f>
        <v>-391029</v>
      </c>
    </row>
    <row r="12" spans="1:16" ht="15" thickBot="1" x14ac:dyDescent="0.35">
      <c r="A12" s="194"/>
      <c r="B12" s="197"/>
      <c r="C12" s="61" t="s">
        <v>9</v>
      </c>
      <c r="D12" s="22">
        <v>381907</v>
      </c>
      <c r="E12" s="2">
        <f>75050+160000+34400+5000+156200+105600+36000+26950+69600</f>
        <v>668800</v>
      </c>
      <c r="F12" s="2">
        <f>D12-E12</f>
        <v>-286893</v>
      </c>
      <c r="G12" s="198"/>
      <c r="H12" s="198"/>
      <c r="I12" s="200"/>
    </row>
    <row r="13" spans="1:16" x14ac:dyDescent="0.3">
      <c r="A13" s="374" t="s">
        <v>13</v>
      </c>
      <c r="B13" s="376">
        <v>45997</v>
      </c>
      <c r="C13" s="150" t="s">
        <v>8</v>
      </c>
      <c r="D13" s="151">
        <f>272290+500000</f>
        <v>772290</v>
      </c>
      <c r="E13" s="152">
        <v>1030953</v>
      </c>
      <c r="F13" s="152">
        <f t="shared" si="0"/>
        <v>-258663</v>
      </c>
      <c r="G13" s="378">
        <f>D13+D14</f>
        <v>1150094</v>
      </c>
      <c r="H13" s="378">
        <f>E13+E14</f>
        <v>1030953</v>
      </c>
      <c r="I13" s="380">
        <f>G13-H13</f>
        <v>119141</v>
      </c>
      <c r="J13" s="367" t="s">
        <v>66</v>
      </c>
    </row>
    <row r="14" spans="1:16" ht="15" thickBot="1" x14ac:dyDescent="0.35">
      <c r="A14" s="375"/>
      <c r="B14" s="377"/>
      <c r="C14" s="153" t="s">
        <v>9</v>
      </c>
      <c r="D14" s="154">
        <v>377804</v>
      </c>
      <c r="E14" s="155">
        <v>0</v>
      </c>
      <c r="F14" s="155">
        <f t="shared" si="0"/>
        <v>377804</v>
      </c>
      <c r="G14" s="379"/>
      <c r="H14" s="379"/>
      <c r="I14" s="381"/>
      <c r="J14" s="368"/>
    </row>
    <row r="15" spans="1:16" x14ac:dyDescent="0.3">
      <c r="A15" s="226" t="s">
        <v>17</v>
      </c>
      <c r="B15" s="227">
        <v>45999</v>
      </c>
      <c r="C15" s="76" t="s">
        <v>8</v>
      </c>
      <c r="D15" s="30">
        <v>83942</v>
      </c>
      <c r="E15" s="11">
        <v>0</v>
      </c>
      <c r="F15" s="11">
        <f t="shared" si="0"/>
        <v>83942</v>
      </c>
      <c r="G15" s="224">
        <f>D15+D16</f>
        <v>300707</v>
      </c>
      <c r="H15" s="224">
        <f>E15+E16</f>
        <v>0</v>
      </c>
      <c r="I15" s="228">
        <f>G15-H15</f>
        <v>300707</v>
      </c>
    </row>
    <row r="16" spans="1:16" ht="15" thickBot="1" x14ac:dyDescent="0.35">
      <c r="A16" s="222"/>
      <c r="B16" s="197"/>
      <c r="C16" s="62" t="s">
        <v>9</v>
      </c>
      <c r="D16" s="27">
        <v>216765</v>
      </c>
      <c r="E16" s="10">
        <v>0</v>
      </c>
      <c r="F16" s="10">
        <f t="shared" si="0"/>
        <v>216765</v>
      </c>
      <c r="G16" s="223"/>
      <c r="H16" s="223"/>
      <c r="I16" s="225"/>
    </row>
    <row r="17" spans="1:16" x14ac:dyDescent="0.3">
      <c r="A17" s="226" t="s">
        <v>18</v>
      </c>
      <c r="B17" s="227">
        <v>46000</v>
      </c>
      <c r="C17" s="76" t="s">
        <v>8</v>
      </c>
      <c r="D17" s="30">
        <v>208328</v>
      </c>
      <c r="E17" s="11">
        <f>45580</f>
        <v>45580</v>
      </c>
      <c r="F17" s="11">
        <f>D17-E17</f>
        <v>162748</v>
      </c>
      <c r="G17" s="224">
        <f>D17+D18</f>
        <v>540317</v>
      </c>
      <c r="H17" s="224">
        <f>E17+E18</f>
        <v>45580</v>
      </c>
      <c r="I17" s="228">
        <f>G17-H17</f>
        <v>494737</v>
      </c>
    </row>
    <row r="18" spans="1:16" ht="15" thickBot="1" x14ac:dyDescent="0.35">
      <c r="A18" s="222"/>
      <c r="B18" s="197"/>
      <c r="C18" s="62" t="s">
        <v>9</v>
      </c>
      <c r="D18" s="27">
        <v>331989</v>
      </c>
      <c r="E18" s="10">
        <v>0</v>
      </c>
      <c r="F18" s="10">
        <f>D18-E18</f>
        <v>331989</v>
      </c>
      <c r="G18" s="223"/>
      <c r="H18" s="223"/>
      <c r="I18" s="225"/>
    </row>
    <row r="19" spans="1:16" x14ac:dyDescent="0.3">
      <c r="A19" s="226" t="s">
        <v>14</v>
      </c>
      <c r="B19" s="227">
        <v>46001</v>
      </c>
      <c r="C19" s="76" t="s">
        <v>8</v>
      </c>
      <c r="D19" s="30">
        <v>293879</v>
      </c>
      <c r="E19" s="11">
        <f>15000+268954</f>
        <v>283954</v>
      </c>
      <c r="F19" s="11">
        <f>D19-E19</f>
        <v>9925</v>
      </c>
      <c r="G19" s="224">
        <f>D19+D20</f>
        <v>593017</v>
      </c>
      <c r="H19" s="224">
        <f>E19+E20</f>
        <v>366398</v>
      </c>
      <c r="I19" s="228">
        <f>G19-H19</f>
        <v>226619</v>
      </c>
      <c r="J19" s="248" t="s">
        <v>42</v>
      </c>
    </row>
    <row r="20" spans="1:16" ht="15" thickBot="1" x14ac:dyDescent="0.35">
      <c r="A20" s="222"/>
      <c r="B20" s="197"/>
      <c r="C20" s="62" t="s">
        <v>9</v>
      </c>
      <c r="D20" s="27">
        <v>299138</v>
      </c>
      <c r="E20" s="10">
        <f>35400+47044</f>
        <v>82444</v>
      </c>
      <c r="F20" s="10">
        <f>D20-E20</f>
        <v>216694</v>
      </c>
      <c r="G20" s="223"/>
      <c r="H20" s="223"/>
      <c r="I20" s="225"/>
      <c r="J20" s="249"/>
    </row>
    <row r="21" spans="1:16" s="1" customFormat="1" x14ac:dyDescent="0.3">
      <c r="A21" s="194" t="s">
        <v>15</v>
      </c>
      <c r="B21" s="227">
        <v>46002</v>
      </c>
      <c r="C21" s="61" t="s">
        <v>8</v>
      </c>
      <c r="D21" s="22">
        <v>402973</v>
      </c>
      <c r="E21" s="11">
        <f>211371+7600+4000+30250+630000</f>
        <v>883221</v>
      </c>
      <c r="F21" s="2">
        <f t="shared" ref="F21:F28" si="1">D21-E21</f>
        <v>-480248</v>
      </c>
      <c r="G21" s="198">
        <f>D21+D22</f>
        <v>776352</v>
      </c>
      <c r="H21" s="198">
        <f>E21+E22</f>
        <v>1488862</v>
      </c>
      <c r="I21" s="200">
        <f>G21-H21</f>
        <v>-712510</v>
      </c>
      <c r="K21"/>
      <c r="L21"/>
      <c r="O21"/>
      <c r="P21"/>
    </row>
    <row r="22" spans="1:16" s="1" customFormat="1" ht="15" thickBot="1" x14ac:dyDescent="0.35">
      <c r="A22" s="194"/>
      <c r="B22" s="197"/>
      <c r="C22" s="61" t="s">
        <v>9</v>
      </c>
      <c r="D22" s="22">
        <v>373379</v>
      </c>
      <c r="E22" s="10">
        <f>23331+62710+6600+513000</f>
        <v>605641</v>
      </c>
      <c r="F22" s="2">
        <f t="shared" si="1"/>
        <v>-232262</v>
      </c>
      <c r="G22" s="198"/>
      <c r="H22" s="198"/>
      <c r="I22" s="200"/>
      <c r="K22"/>
      <c r="L22"/>
      <c r="O22"/>
      <c r="P22"/>
    </row>
    <row r="23" spans="1:16" x14ac:dyDescent="0.3">
      <c r="A23" s="194" t="s">
        <v>16</v>
      </c>
      <c r="B23" s="227">
        <v>46003</v>
      </c>
      <c r="C23" s="61" t="s">
        <v>8</v>
      </c>
      <c r="D23" s="22">
        <v>378415</v>
      </c>
      <c r="E23" s="2">
        <v>0</v>
      </c>
      <c r="F23" s="2">
        <f t="shared" si="1"/>
        <v>378415</v>
      </c>
      <c r="G23" s="198">
        <f>D23+D24</f>
        <v>610898</v>
      </c>
      <c r="H23" s="198">
        <f>E23+E24</f>
        <v>533834</v>
      </c>
      <c r="I23" s="200">
        <f>G23-H23</f>
        <v>77064</v>
      </c>
    </row>
    <row r="24" spans="1:16" ht="15" thickBot="1" x14ac:dyDescent="0.35">
      <c r="A24" s="222"/>
      <c r="B24" s="197"/>
      <c r="C24" s="62" t="s">
        <v>9</v>
      </c>
      <c r="D24" s="27">
        <v>232483</v>
      </c>
      <c r="E24" s="10">
        <f>285000+12800+77700+141534+7600+9200</f>
        <v>533834</v>
      </c>
      <c r="F24" s="10">
        <f t="shared" si="1"/>
        <v>-301351</v>
      </c>
      <c r="G24" s="223"/>
      <c r="H24" s="223"/>
      <c r="I24" s="225"/>
    </row>
    <row r="25" spans="1:16" x14ac:dyDescent="0.3">
      <c r="A25" s="317" t="s">
        <v>13</v>
      </c>
      <c r="B25" s="319">
        <v>46004</v>
      </c>
      <c r="C25" s="109" t="s">
        <v>8</v>
      </c>
      <c r="D25" s="110">
        <v>284056</v>
      </c>
      <c r="E25" s="111">
        <f>8000</f>
        <v>8000</v>
      </c>
      <c r="F25" s="111">
        <f t="shared" si="1"/>
        <v>276056</v>
      </c>
      <c r="G25" s="321">
        <f>D25+D26</f>
        <v>525557</v>
      </c>
      <c r="H25" s="346">
        <f>E25+E26</f>
        <v>75000</v>
      </c>
      <c r="I25" s="323">
        <f>G25-H25</f>
        <v>450557</v>
      </c>
    </row>
    <row r="26" spans="1:16" ht="15" thickBot="1" x14ac:dyDescent="0.35">
      <c r="A26" s="318"/>
      <c r="B26" s="320"/>
      <c r="C26" s="112" t="s">
        <v>9</v>
      </c>
      <c r="D26" s="113">
        <v>241501</v>
      </c>
      <c r="E26" s="114">
        <f>27000+40000</f>
        <v>67000</v>
      </c>
      <c r="F26" s="114">
        <f t="shared" si="1"/>
        <v>174501</v>
      </c>
      <c r="G26" s="322"/>
      <c r="H26" s="347"/>
      <c r="I26" s="324"/>
    </row>
    <row r="27" spans="1:16" x14ac:dyDescent="0.3">
      <c r="A27" s="226" t="s">
        <v>17</v>
      </c>
      <c r="B27" s="227">
        <v>46006</v>
      </c>
      <c r="C27" s="76" t="s">
        <v>8</v>
      </c>
      <c r="D27" s="30">
        <v>347547</v>
      </c>
      <c r="E27" s="11">
        <f>245662</f>
        <v>245662</v>
      </c>
      <c r="F27" s="11">
        <f t="shared" si="1"/>
        <v>101885</v>
      </c>
      <c r="G27" s="224">
        <f>D27+D28</f>
        <v>671243</v>
      </c>
      <c r="H27" s="224">
        <f>E27+E28</f>
        <v>332538</v>
      </c>
      <c r="I27" s="228">
        <f>G27-H27</f>
        <v>338705</v>
      </c>
    </row>
    <row r="28" spans="1:16" ht="15" thickBot="1" x14ac:dyDescent="0.35">
      <c r="A28" s="222"/>
      <c r="B28" s="197"/>
      <c r="C28" s="62" t="s">
        <v>9</v>
      </c>
      <c r="D28" s="27">
        <v>323696</v>
      </c>
      <c r="E28" s="10">
        <f>70376+16500</f>
        <v>86876</v>
      </c>
      <c r="F28" s="10">
        <f t="shared" si="1"/>
        <v>236820</v>
      </c>
      <c r="G28" s="223"/>
      <c r="H28" s="223"/>
      <c r="I28" s="225"/>
    </row>
    <row r="29" spans="1:16" x14ac:dyDescent="0.3">
      <c r="A29" s="226" t="s">
        <v>18</v>
      </c>
      <c r="B29" s="227">
        <v>46007</v>
      </c>
      <c r="C29" s="76" t="s">
        <v>8</v>
      </c>
      <c r="D29" s="30">
        <v>371666</v>
      </c>
      <c r="E29" s="11">
        <v>278231</v>
      </c>
      <c r="F29" s="11">
        <f>D29-E29</f>
        <v>93435</v>
      </c>
      <c r="G29" s="224">
        <f>D29+D30</f>
        <v>691549</v>
      </c>
      <c r="H29" s="224">
        <f>E29+E30</f>
        <v>488839</v>
      </c>
      <c r="I29" s="228">
        <f>G29-H29</f>
        <v>202710</v>
      </c>
    </row>
    <row r="30" spans="1:16" ht="15" thickBot="1" x14ac:dyDescent="0.35">
      <c r="A30" s="222"/>
      <c r="B30" s="197"/>
      <c r="C30" s="62" t="s">
        <v>9</v>
      </c>
      <c r="D30" s="27">
        <v>319883</v>
      </c>
      <c r="E30" s="10">
        <f>49390+14600+146618</f>
        <v>210608</v>
      </c>
      <c r="F30" s="10">
        <f>D30-E30</f>
        <v>109275</v>
      </c>
      <c r="G30" s="223"/>
      <c r="H30" s="223"/>
      <c r="I30" s="225"/>
    </row>
    <row r="31" spans="1:16" x14ac:dyDescent="0.3">
      <c r="A31" s="226" t="s">
        <v>14</v>
      </c>
      <c r="B31" s="227">
        <v>46008</v>
      </c>
      <c r="C31" s="76" t="s">
        <v>8</v>
      </c>
      <c r="D31" s="30">
        <v>271017</v>
      </c>
      <c r="E31" s="11">
        <f>159183+72255</f>
        <v>231438</v>
      </c>
      <c r="F31" s="11">
        <f>D31-E31</f>
        <v>39579</v>
      </c>
      <c r="G31" s="224">
        <f>D31+D32</f>
        <v>596438</v>
      </c>
      <c r="H31" s="224">
        <f>E31+E32</f>
        <v>415338</v>
      </c>
      <c r="I31" s="228">
        <f>G31-H31</f>
        <v>181100</v>
      </c>
    </row>
    <row r="32" spans="1:16" ht="15" thickBot="1" x14ac:dyDescent="0.35">
      <c r="A32" s="222"/>
      <c r="B32" s="197"/>
      <c r="C32" s="62" t="s">
        <v>9</v>
      </c>
      <c r="D32" s="27">
        <v>325421</v>
      </c>
      <c r="E32" s="10">
        <f>89900+15000+14000+10000+40000+15000</f>
        <v>183900</v>
      </c>
      <c r="F32" s="10">
        <f>D32-E32</f>
        <v>141521</v>
      </c>
      <c r="G32" s="223"/>
      <c r="H32" s="223"/>
      <c r="I32" s="225"/>
    </row>
    <row r="33" spans="1:17" s="1" customFormat="1" x14ac:dyDescent="0.3">
      <c r="A33" s="194" t="s">
        <v>15</v>
      </c>
      <c r="B33" s="227">
        <v>46009</v>
      </c>
      <c r="C33" s="61" t="s">
        <v>8</v>
      </c>
      <c r="D33" s="22">
        <v>371845</v>
      </c>
      <c r="E33" s="2">
        <v>245014</v>
      </c>
      <c r="F33" s="2">
        <f t="shared" ref="F33:F40" si="2">D33-E33</f>
        <v>126831</v>
      </c>
      <c r="G33" s="198">
        <f>D33+D34</f>
        <v>653759</v>
      </c>
      <c r="H33" s="198">
        <f>E33+E34</f>
        <v>330998</v>
      </c>
      <c r="I33" s="200">
        <f>G33-H33</f>
        <v>322761</v>
      </c>
      <c r="J33"/>
      <c r="K33"/>
      <c r="L33"/>
      <c r="M33"/>
      <c r="N33"/>
      <c r="O33"/>
      <c r="P33"/>
    </row>
    <row r="34" spans="1:17" s="1" customFormat="1" x14ac:dyDescent="0.3">
      <c r="A34" s="194"/>
      <c r="B34" s="197"/>
      <c r="C34" s="61" t="s">
        <v>9</v>
      </c>
      <c r="D34" s="22">
        <v>281914</v>
      </c>
      <c r="E34" s="2">
        <f>39204+46780</f>
        <v>85984</v>
      </c>
      <c r="F34" s="2">
        <f t="shared" si="2"/>
        <v>195930</v>
      </c>
      <c r="G34" s="198"/>
      <c r="H34" s="198"/>
      <c r="I34" s="200"/>
      <c r="J34"/>
      <c r="K34"/>
      <c r="L34"/>
      <c r="M34"/>
      <c r="N34"/>
      <c r="O34"/>
      <c r="P34"/>
    </row>
    <row r="35" spans="1:17" x14ac:dyDescent="0.3">
      <c r="A35" s="194" t="s">
        <v>16</v>
      </c>
      <c r="B35" s="227">
        <v>46010</v>
      </c>
      <c r="C35" s="61" t="s">
        <v>8</v>
      </c>
      <c r="D35" s="22">
        <v>371149</v>
      </c>
      <c r="E35" s="2">
        <f>39000+11400+6200+27252+38900</f>
        <v>122752</v>
      </c>
      <c r="F35" s="2">
        <f t="shared" si="2"/>
        <v>248397</v>
      </c>
      <c r="G35" s="198">
        <f>D35+D36</f>
        <v>595493</v>
      </c>
      <c r="H35" s="198">
        <f>E35+E36</f>
        <v>321525</v>
      </c>
      <c r="I35" s="200">
        <f>G35-H35</f>
        <v>273968</v>
      </c>
    </row>
    <row r="36" spans="1:17" ht="15" thickBot="1" x14ac:dyDescent="0.35">
      <c r="A36" s="222"/>
      <c r="B36" s="197"/>
      <c r="C36" s="62" t="s">
        <v>9</v>
      </c>
      <c r="D36" s="27">
        <v>224344</v>
      </c>
      <c r="E36" s="10">
        <v>198773</v>
      </c>
      <c r="F36" s="10">
        <f t="shared" si="2"/>
        <v>25571</v>
      </c>
      <c r="G36" s="223"/>
      <c r="H36" s="223"/>
      <c r="I36" s="225"/>
    </row>
    <row r="37" spans="1:17" ht="15" thickBot="1" x14ac:dyDescent="0.35">
      <c r="A37" s="202" t="s">
        <v>13</v>
      </c>
      <c r="B37" s="265">
        <v>46011</v>
      </c>
      <c r="C37" s="77" t="s">
        <v>8</v>
      </c>
      <c r="D37" s="35">
        <v>182770</v>
      </c>
      <c r="E37" s="36">
        <v>0</v>
      </c>
      <c r="F37" s="36">
        <f t="shared" si="2"/>
        <v>182770</v>
      </c>
      <c r="G37" s="206">
        <f>D37+D38</f>
        <v>388578</v>
      </c>
      <c r="H37" s="206">
        <f>E37+E38</f>
        <v>0</v>
      </c>
      <c r="I37" s="208">
        <f>G37-H37</f>
        <v>388578</v>
      </c>
    </row>
    <row r="38" spans="1:17" ht="15" thickBot="1" x14ac:dyDescent="0.35">
      <c r="A38" s="203"/>
      <c r="B38" s="264"/>
      <c r="C38" s="78" t="s">
        <v>9</v>
      </c>
      <c r="D38" s="35">
        <v>205808</v>
      </c>
      <c r="E38" s="38">
        <v>0</v>
      </c>
      <c r="F38" s="38">
        <f t="shared" si="2"/>
        <v>205808</v>
      </c>
      <c r="G38" s="207"/>
      <c r="H38" s="207"/>
      <c r="I38" s="209"/>
    </row>
    <row r="39" spans="1:17" ht="15" customHeight="1" x14ac:dyDescent="0.3">
      <c r="A39" s="226" t="s">
        <v>17</v>
      </c>
      <c r="B39" s="227">
        <v>46013</v>
      </c>
      <c r="C39" s="76" t="s">
        <v>8</v>
      </c>
      <c r="D39" s="30">
        <v>346301</v>
      </c>
      <c r="E39" s="11">
        <f>203018+52228+16800</f>
        <v>272046</v>
      </c>
      <c r="F39" s="11">
        <f t="shared" si="2"/>
        <v>74255</v>
      </c>
      <c r="G39" s="224">
        <f>D39+D40</f>
        <v>562339</v>
      </c>
      <c r="H39" s="224">
        <f>E39+E40</f>
        <v>472446</v>
      </c>
      <c r="I39" s="228">
        <f>G39-H39</f>
        <v>89893</v>
      </c>
      <c r="M39" s="13" t="s">
        <v>2</v>
      </c>
      <c r="N39" s="12">
        <v>1</v>
      </c>
      <c r="P39" s="85"/>
      <c r="Q39" t="s">
        <v>52</v>
      </c>
    </row>
    <row r="40" spans="1:17" ht="15" thickBot="1" x14ac:dyDescent="0.35">
      <c r="A40" s="222"/>
      <c r="B40" s="197"/>
      <c r="C40" s="62" t="s">
        <v>9</v>
      </c>
      <c r="D40" s="27">
        <v>216038</v>
      </c>
      <c r="E40" s="10">
        <f>39500+29600+7600+7100+12000+104600</f>
        <v>200400</v>
      </c>
      <c r="F40" s="10">
        <f t="shared" si="2"/>
        <v>15638</v>
      </c>
      <c r="G40" s="223"/>
      <c r="H40" s="223"/>
      <c r="I40" s="225"/>
      <c r="M40" s="14" t="s">
        <v>11</v>
      </c>
      <c r="N40" s="17">
        <f>H57*100/G57/100</f>
        <v>0.6243244586135932</v>
      </c>
      <c r="P40" s="43"/>
      <c r="Q40" t="s">
        <v>41</v>
      </c>
    </row>
    <row r="41" spans="1:17" x14ac:dyDescent="0.3">
      <c r="A41" s="226" t="s">
        <v>18</v>
      </c>
      <c r="B41" s="227">
        <v>46014</v>
      </c>
      <c r="C41" s="76" t="s">
        <v>8</v>
      </c>
      <c r="D41" s="30">
        <v>296887</v>
      </c>
      <c r="E41" s="11">
        <f>14400+123200</f>
        <v>137600</v>
      </c>
      <c r="F41" s="11">
        <f>D41-E41</f>
        <v>159287</v>
      </c>
      <c r="G41" s="224">
        <f>D41+D42</f>
        <v>622570</v>
      </c>
      <c r="H41" s="224">
        <f>E41+E42</f>
        <v>282600</v>
      </c>
      <c r="I41" s="228">
        <f>G41-H41</f>
        <v>339970</v>
      </c>
      <c r="M41" s="15" t="s">
        <v>3</v>
      </c>
      <c r="N41" s="16">
        <f>(100%-N40)</f>
        <v>0.3756755413864068</v>
      </c>
    </row>
    <row r="42" spans="1:17" ht="15" thickBot="1" x14ac:dyDescent="0.35">
      <c r="A42" s="222"/>
      <c r="B42" s="197"/>
      <c r="C42" s="62" t="s">
        <v>9</v>
      </c>
      <c r="D42" s="27">
        <v>325683</v>
      </c>
      <c r="E42" s="10">
        <f>145000</f>
        <v>145000</v>
      </c>
      <c r="F42" s="10">
        <f>D42-E42</f>
        <v>180683</v>
      </c>
      <c r="G42" s="223"/>
      <c r="H42" s="223"/>
      <c r="I42" s="225"/>
    </row>
    <row r="43" spans="1:17" x14ac:dyDescent="0.3">
      <c r="A43" s="226" t="s">
        <v>14</v>
      </c>
      <c r="B43" s="227">
        <v>46015</v>
      </c>
      <c r="C43" s="76" t="s">
        <v>8</v>
      </c>
      <c r="D43" s="30">
        <v>284045</v>
      </c>
      <c r="E43" s="11">
        <f>57280+40400</f>
        <v>97680</v>
      </c>
      <c r="F43" s="11">
        <f>D43-E43</f>
        <v>186365</v>
      </c>
      <c r="G43" s="224">
        <f>D43+D44</f>
        <v>284045</v>
      </c>
      <c r="H43" s="224">
        <f>E43+E44</f>
        <v>97680</v>
      </c>
      <c r="I43" s="228">
        <f>G43-H43</f>
        <v>186365</v>
      </c>
    </row>
    <row r="44" spans="1:17" ht="15" thickBot="1" x14ac:dyDescent="0.35">
      <c r="A44" s="222"/>
      <c r="B44" s="197"/>
      <c r="C44" s="62" t="s">
        <v>9</v>
      </c>
      <c r="D44" s="27">
        <v>0</v>
      </c>
      <c r="E44" s="10"/>
      <c r="F44" s="10">
        <f>D44-E44</f>
        <v>0</v>
      </c>
      <c r="G44" s="223"/>
      <c r="H44" s="223"/>
      <c r="I44" s="225"/>
    </row>
    <row r="45" spans="1:17" s="1" customFormat="1" x14ac:dyDescent="0.3">
      <c r="A45" s="369" t="s">
        <v>15</v>
      </c>
      <c r="B45" s="370">
        <v>46016</v>
      </c>
      <c r="C45" s="156" t="s">
        <v>8</v>
      </c>
      <c r="D45" s="157">
        <v>0</v>
      </c>
      <c r="E45" s="158"/>
      <c r="F45" s="158">
        <f t="shared" ref="F45:F52" si="3">D45-E45</f>
        <v>0</v>
      </c>
      <c r="G45" s="372">
        <f>D45+D46</f>
        <v>0</v>
      </c>
      <c r="H45" s="372">
        <f>E45+E46</f>
        <v>0</v>
      </c>
      <c r="I45" s="373">
        <f>G45-H45</f>
        <v>0</v>
      </c>
      <c r="J45" s="382" t="s">
        <v>39</v>
      </c>
      <c r="K45"/>
      <c r="L45"/>
      <c r="M45"/>
      <c r="N45"/>
      <c r="O45"/>
      <c r="P45"/>
    </row>
    <row r="46" spans="1:17" s="1" customFormat="1" x14ac:dyDescent="0.3">
      <c r="A46" s="369"/>
      <c r="B46" s="371"/>
      <c r="C46" s="156" t="s">
        <v>9</v>
      </c>
      <c r="D46" s="157">
        <v>0</v>
      </c>
      <c r="E46" s="158"/>
      <c r="F46" s="158">
        <f t="shared" si="3"/>
        <v>0</v>
      </c>
      <c r="G46" s="372"/>
      <c r="H46" s="372"/>
      <c r="I46" s="373"/>
      <c r="J46" s="382"/>
      <c r="K46"/>
      <c r="L46"/>
      <c r="M46"/>
      <c r="N46"/>
      <c r="O46"/>
      <c r="P46"/>
    </row>
    <row r="47" spans="1:17" x14ac:dyDescent="0.3">
      <c r="A47" s="194" t="s">
        <v>16</v>
      </c>
      <c r="B47" s="227">
        <v>46017</v>
      </c>
      <c r="C47" s="61" t="s">
        <v>8</v>
      </c>
      <c r="D47" s="22">
        <v>155434</v>
      </c>
      <c r="E47" s="2">
        <f>50000</f>
        <v>50000</v>
      </c>
      <c r="F47" s="2">
        <f t="shared" si="3"/>
        <v>105434</v>
      </c>
      <c r="G47" s="198">
        <f>D47+D48</f>
        <v>421708</v>
      </c>
      <c r="H47" s="198">
        <f>E47+E48</f>
        <v>50000</v>
      </c>
      <c r="I47" s="200">
        <f>G47-H47</f>
        <v>371708</v>
      </c>
    </row>
    <row r="48" spans="1:17" ht="15" thickBot="1" x14ac:dyDescent="0.35">
      <c r="A48" s="222"/>
      <c r="B48" s="197"/>
      <c r="C48" s="62" t="s">
        <v>9</v>
      </c>
      <c r="D48" s="27">
        <v>266274</v>
      </c>
      <c r="E48" s="10"/>
      <c r="F48" s="10">
        <f t="shared" si="3"/>
        <v>266274</v>
      </c>
      <c r="G48" s="223"/>
      <c r="H48" s="223"/>
      <c r="I48" s="225"/>
    </row>
    <row r="49" spans="1:17" x14ac:dyDescent="0.3">
      <c r="A49" s="317" t="s">
        <v>13</v>
      </c>
      <c r="B49" s="319">
        <v>46018</v>
      </c>
      <c r="C49" s="109" t="s">
        <v>8</v>
      </c>
      <c r="D49" s="110">
        <v>255205</v>
      </c>
      <c r="E49" s="111">
        <v>0</v>
      </c>
      <c r="F49" s="111">
        <f t="shared" si="3"/>
        <v>255205</v>
      </c>
      <c r="G49" s="321">
        <f>D49+D50</f>
        <v>488366</v>
      </c>
      <c r="H49" s="346">
        <f>E49+E50</f>
        <v>0</v>
      </c>
      <c r="I49" s="323">
        <f>G49-H49</f>
        <v>488366</v>
      </c>
    </row>
    <row r="50" spans="1:17" ht="15" thickBot="1" x14ac:dyDescent="0.35">
      <c r="A50" s="318"/>
      <c r="B50" s="320"/>
      <c r="C50" s="112" t="s">
        <v>9</v>
      </c>
      <c r="D50" s="113">
        <v>233161</v>
      </c>
      <c r="E50" s="114">
        <v>0</v>
      </c>
      <c r="F50" s="114">
        <f t="shared" si="3"/>
        <v>233161</v>
      </c>
      <c r="G50" s="322"/>
      <c r="H50" s="347"/>
      <c r="I50" s="324"/>
    </row>
    <row r="51" spans="1:17" ht="15" customHeight="1" x14ac:dyDescent="0.3">
      <c r="A51" s="226" t="s">
        <v>17</v>
      </c>
      <c r="B51" s="227">
        <v>46020</v>
      </c>
      <c r="C51" s="76" t="s">
        <v>8</v>
      </c>
      <c r="D51" s="30">
        <v>255492</v>
      </c>
      <c r="E51" s="11">
        <f>259311</f>
        <v>259311</v>
      </c>
      <c r="F51" s="11">
        <f t="shared" si="3"/>
        <v>-3819</v>
      </c>
      <c r="G51" s="224">
        <f>D51+D52</f>
        <v>527412</v>
      </c>
      <c r="H51" s="224">
        <f>E51+E52</f>
        <v>327921</v>
      </c>
      <c r="I51" s="228">
        <f>G51-H51</f>
        <v>199491</v>
      </c>
    </row>
    <row r="52" spans="1:17" ht="15" thickBot="1" x14ac:dyDescent="0.35">
      <c r="A52" s="222"/>
      <c r="B52" s="197"/>
      <c r="C52" s="62" t="s">
        <v>9</v>
      </c>
      <c r="D52" s="27">
        <v>271920</v>
      </c>
      <c r="E52" s="10">
        <f>22240+20800+25570</f>
        <v>68610</v>
      </c>
      <c r="F52" s="10">
        <f t="shared" si="3"/>
        <v>203310</v>
      </c>
      <c r="G52" s="223"/>
      <c r="H52" s="223"/>
      <c r="I52" s="225"/>
    </row>
    <row r="53" spans="1:17" x14ac:dyDescent="0.3">
      <c r="A53" s="226" t="s">
        <v>18</v>
      </c>
      <c r="B53" s="227">
        <v>46021</v>
      </c>
      <c r="C53" s="76" t="s">
        <v>8</v>
      </c>
      <c r="D53" s="30">
        <v>258616</v>
      </c>
      <c r="E53" s="11">
        <f>27500+19800+28500+23400+11400+9300</f>
        <v>119900</v>
      </c>
      <c r="F53" s="11">
        <f>D53-E53</f>
        <v>138716</v>
      </c>
      <c r="G53" s="224">
        <f>D53+D54</f>
        <v>584853</v>
      </c>
      <c r="H53" s="224">
        <f>E53+E54</f>
        <v>293848</v>
      </c>
      <c r="I53" s="228">
        <f>G53-H53</f>
        <v>291005</v>
      </c>
    </row>
    <row r="54" spans="1:17" ht="15" thickBot="1" x14ac:dyDescent="0.35">
      <c r="A54" s="222"/>
      <c r="B54" s="197"/>
      <c r="C54" s="62" t="s">
        <v>9</v>
      </c>
      <c r="D54" s="27">
        <v>326237</v>
      </c>
      <c r="E54" s="10">
        <f>173948</f>
        <v>173948</v>
      </c>
      <c r="F54" s="10">
        <f>D54-E54</f>
        <v>152289</v>
      </c>
      <c r="G54" s="223"/>
      <c r="H54" s="223"/>
      <c r="I54" s="225"/>
    </row>
    <row r="55" spans="1:17" x14ac:dyDescent="0.3">
      <c r="A55" s="226" t="s">
        <v>14</v>
      </c>
      <c r="B55" s="227">
        <v>46022</v>
      </c>
      <c r="C55" s="76" t="s">
        <v>8</v>
      </c>
      <c r="D55" s="30">
        <v>483876</v>
      </c>
      <c r="E55" s="11">
        <f>11080</f>
        <v>11080</v>
      </c>
      <c r="F55" s="11">
        <f>D55-E55</f>
        <v>472796</v>
      </c>
      <c r="G55" s="224">
        <f>D55+D56</f>
        <v>483876</v>
      </c>
      <c r="H55" s="224">
        <f>11080</f>
        <v>11080</v>
      </c>
      <c r="I55" s="228">
        <f>G55-H55</f>
        <v>472796</v>
      </c>
    </row>
    <row r="56" spans="1:17" ht="15" thickBot="1" x14ac:dyDescent="0.35">
      <c r="A56" s="222"/>
      <c r="B56" s="197"/>
      <c r="C56" s="62" t="s">
        <v>9</v>
      </c>
      <c r="D56" s="27">
        <v>0</v>
      </c>
      <c r="E56" s="10"/>
      <c r="F56" s="10">
        <f>D56-E56</f>
        <v>0</v>
      </c>
      <c r="G56" s="223"/>
      <c r="H56" s="223"/>
      <c r="I56" s="225"/>
    </row>
    <row r="57" spans="1:17" s="1" customFormat="1" ht="15" thickBot="1" x14ac:dyDescent="0.35">
      <c r="A57"/>
      <c r="B57" s="277" t="s">
        <v>10</v>
      </c>
      <c r="C57" s="366"/>
      <c r="D57" s="143">
        <f t="shared" ref="D57:I57" si="4">SUM(D3:D56)</f>
        <v>15577506</v>
      </c>
      <c r="E57" s="143">
        <f t="shared" si="4"/>
        <v>9725418</v>
      </c>
      <c r="F57" s="143">
        <f t="shared" si="4"/>
        <v>5852088</v>
      </c>
      <c r="G57" s="143">
        <f t="shared" si="4"/>
        <v>15577506</v>
      </c>
      <c r="H57" s="143">
        <f t="shared" si="4"/>
        <v>9725418</v>
      </c>
      <c r="I57" s="143">
        <f t="shared" si="4"/>
        <v>5852088</v>
      </c>
      <c r="J57"/>
      <c r="K57" s="39"/>
      <c r="L57"/>
      <c r="M57"/>
      <c r="N57"/>
      <c r="O57"/>
      <c r="P57"/>
      <c r="Q57"/>
    </row>
    <row r="58" spans="1:17" s="1" customFormat="1" x14ac:dyDescent="0.3">
      <c r="A58"/>
      <c r="J58"/>
      <c r="K58" s="39"/>
      <c r="L58"/>
      <c r="M58"/>
      <c r="N58"/>
      <c r="O58"/>
      <c r="P58"/>
    </row>
    <row r="59" spans="1:17" s="1" customFormat="1" x14ac:dyDescent="0.3">
      <c r="A59"/>
      <c r="J59"/>
      <c r="K59" s="39"/>
      <c r="L59"/>
      <c r="M59"/>
      <c r="N59"/>
      <c r="O59"/>
      <c r="P59"/>
    </row>
    <row r="60" spans="1:17" s="1" customFormat="1" x14ac:dyDescent="0.3">
      <c r="A60"/>
      <c r="J60"/>
      <c r="K60" s="39"/>
      <c r="L60"/>
      <c r="M60"/>
      <c r="N60"/>
      <c r="O60"/>
      <c r="P60"/>
    </row>
    <row r="61" spans="1:17" x14ac:dyDescent="0.3">
      <c r="K61" s="39"/>
    </row>
    <row r="62" spans="1:17" x14ac:dyDescent="0.3">
      <c r="D62" s="20" t="s">
        <v>21</v>
      </c>
      <c r="E62" s="2">
        <f>MAXA(D3:D38)</f>
        <v>772290</v>
      </c>
      <c r="F62" s="283">
        <v>45751</v>
      </c>
      <c r="G62" s="187"/>
      <c r="K62" s="39"/>
    </row>
    <row r="63" spans="1:17" x14ac:dyDescent="0.3">
      <c r="D63" s="21" t="s">
        <v>22</v>
      </c>
      <c r="E63" s="2">
        <f>IF(MINA(D3:D28)&lt;&gt;0, MINA(D3:D6))</f>
        <v>324021</v>
      </c>
      <c r="F63" s="283">
        <v>45749</v>
      </c>
      <c r="G63" s="187"/>
      <c r="K63" s="39"/>
    </row>
    <row r="64" spans="1:17" s="1" customFormat="1" x14ac:dyDescent="0.3">
      <c r="A64"/>
      <c r="C64" s="1" t="s">
        <v>20</v>
      </c>
      <c r="J64"/>
      <c r="K64"/>
      <c r="L64"/>
      <c r="M64"/>
      <c r="N64"/>
    </row>
    <row r="65" spans="1:17" x14ac:dyDescent="0.3">
      <c r="D65" s="192" t="s">
        <v>36</v>
      </c>
      <c r="E65" s="18" t="e">
        <f>AVERAGEA(#REF!)</f>
        <v>#REF!</v>
      </c>
      <c r="F65" s="187" t="s">
        <v>23</v>
      </c>
      <c r="G65" s="187"/>
      <c r="I65" s="193" t="s">
        <v>37</v>
      </c>
      <c r="J65" s="18" t="e">
        <f>AVERAGEA(#REF!)</f>
        <v>#REF!</v>
      </c>
      <c r="K65" s="187" t="s">
        <v>23</v>
      </c>
      <c r="L65" s="187"/>
      <c r="N65" s="188" t="s">
        <v>38</v>
      </c>
      <c r="O65" s="18" t="e">
        <f>AVERAGEA(#REF!)</f>
        <v>#REF!</v>
      </c>
      <c r="P65" s="187" t="s">
        <v>23</v>
      </c>
      <c r="Q65" s="187"/>
    </row>
    <row r="66" spans="1:17" x14ac:dyDescent="0.3">
      <c r="D66" s="192"/>
      <c r="E66" s="18" t="e">
        <f>AVERAGEA(#REF!)</f>
        <v>#REF!</v>
      </c>
      <c r="F66" s="187" t="s">
        <v>24</v>
      </c>
      <c r="G66" s="187"/>
      <c r="I66" s="193"/>
      <c r="J66" s="18" t="e">
        <f>AVERAGEA(#REF!)</f>
        <v>#REF!</v>
      </c>
      <c r="K66" s="187" t="s">
        <v>24</v>
      </c>
      <c r="L66" s="187"/>
      <c r="N66" s="188"/>
      <c r="O66" s="18" t="e">
        <f>AVERAGEA(#REF!)</f>
        <v>#REF!</v>
      </c>
      <c r="P66" s="187" t="s">
        <v>24</v>
      </c>
      <c r="Q66" s="187"/>
    </row>
    <row r="67" spans="1:17" x14ac:dyDescent="0.3">
      <c r="D67" s="192"/>
      <c r="E67" s="18">
        <f>AVERAGEA(G3:G14)</f>
        <v>776404.83333333337</v>
      </c>
      <c r="F67" s="187" t="s">
        <v>25</v>
      </c>
      <c r="G67" s="187"/>
      <c r="I67" s="193"/>
      <c r="J67" s="18">
        <f>AVERAGEA(H3:H14)</f>
        <v>631821.83333333337</v>
      </c>
      <c r="K67" s="187" t="s">
        <v>25</v>
      </c>
      <c r="L67" s="187"/>
      <c r="N67" s="188"/>
      <c r="O67" s="18">
        <f>AVERAGEA(F3:F14)</f>
        <v>72291.5</v>
      </c>
      <c r="P67" s="187" t="s">
        <v>25</v>
      </c>
      <c r="Q67" s="187"/>
    </row>
    <row r="68" spans="1:17" x14ac:dyDescent="0.3">
      <c r="D68" s="192"/>
      <c r="E68" s="18">
        <f>AVERAGEA(G15:G26)</f>
        <v>557808</v>
      </c>
      <c r="F68" s="184" t="s">
        <v>26</v>
      </c>
      <c r="G68" s="185"/>
      <c r="I68" s="193"/>
      <c r="J68" s="18">
        <f>AVERAGEA(H15:H26)</f>
        <v>418279</v>
      </c>
      <c r="K68" s="184" t="s">
        <v>26</v>
      </c>
      <c r="L68" s="185"/>
      <c r="N68" s="188"/>
      <c r="O68" s="18">
        <f>AVERAGEA(F15:F26)</f>
        <v>69764.5</v>
      </c>
      <c r="P68" s="184" t="s">
        <v>26</v>
      </c>
      <c r="Q68" s="185"/>
    </row>
    <row r="69" spans="1:17" x14ac:dyDescent="0.3">
      <c r="D69" s="192"/>
      <c r="E69" s="18">
        <f>AVERAGEA(G27:G34)</f>
        <v>653247.25</v>
      </c>
      <c r="F69" s="184" t="s">
        <v>34</v>
      </c>
      <c r="G69" s="185"/>
      <c r="I69" s="193"/>
      <c r="J69" s="18">
        <f>AVERAGEA(H27:H34)</f>
        <v>391928.25</v>
      </c>
      <c r="K69" s="184" t="s">
        <v>34</v>
      </c>
      <c r="L69" s="185"/>
      <c r="N69" s="188"/>
      <c r="O69" s="18">
        <f>AVERAGEA(I27:I34)</f>
        <v>261319</v>
      </c>
      <c r="P69" s="184" t="s">
        <v>34</v>
      </c>
      <c r="Q69" s="185"/>
    </row>
    <row r="70" spans="1:17" x14ac:dyDescent="0.3">
      <c r="D70" s="192"/>
      <c r="E70" s="28" t="e">
        <f>AVERAGEA(E65:E68)</f>
        <v>#REF!</v>
      </c>
      <c r="F70" s="186" t="s">
        <v>10</v>
      </c>
      <c r="G70" s="186"/>
      <c r="I70" s="193"/>
      <c r="J70" s="28" t="e">
        <f>AVERAGEA(J65:J68)</f>
        <v>#REF!</v>
      </c>
      <c r="K70" s="186" t="s">
        <v>10</v>
      </c>
      <c r="L70" s="186"/>
      <c r="N70" s="189"/>
      <c r="O70" s="28" t="e">
        <f>AVERAGEA(O65:O68)</f>
        <v>#REF!</v>
      </c>
      <c r="P70" s="186" t="s">
        <v>10</v>
      </c>
      <c r="Q70" s="186"/>
    </row>
    <row r="72" spans="1:17" x14ac:dyDescent="0.3">
      <c r="D72"/>
      <c r="E72"/>
      <c r="F72"/>
      <c r="G72"/>
      <c r="H72"/>
      <c r="I72"/>
    </row>
    <row r="73" spans="1:17" s="1" customFormat="1" x14ac:dyDescent="0.3">
      <c r="A73"/>
      <c r="D73"/>
      <c r="E73"/>
      <c r="F73"/>
      <c r="G73"/>
      <c r="H73"/>
      <c r="I73"/>
      <c r="J73"/>
      <c r="K73"/>
      <c r="L73"/>
      <c r="M73"/>
      <c r="N73"/>
    </row>
    <row r="74" spans="1:17" x14ac:dyDescent="0.3">
      <c r="D74"/>
      <c r="E74"/>
      <c r="F74"/>
      <c r="G74"/>
      <c r="H74"/>
      <c r="I74"/>
    </row>
    <row r="75" spans="1:17" ht="27" customHeight="1" x14ac:dyDescent="0.3">
      <c r="D75"/>
      <c r="E75"/>
      <c r="F75"/>
      <c r="G75"/>
      <c r="H75"/>
      <c r="I75"/>
    </row>
    <row r="76" spans="1:17" x14ac:dyDescent="0.3">
      <c r="D76"/>
      <c r="E76"/>
      <c r="F76"/>
      <c r="G76"/>
      <c r="H76"/>
      <c r="I76"/>
    </row>
    <row r="77" spans="1:17" x14ac:dyDescent="0.3">
      <c r="D77"/>
      <c r="E77"/>
      <c r="F77"/>
      <c r="G77"/>
      <c r="H77"/>
      <c r="I77"/>
    </row>
    <row r="78" spans="1:17" x14ac:dyDescent="0.3">
      <c r="D78"/>
      <c r="E78"/>
      <c r="F78"/>
      <c r="G78"/>
      <c r="H78"/>
      <c r="I78"/>
    </row>
    <row r="79" spans="1:17" x14ac:dyDescent="0.3">
      <c r="D79"/>
      <c r="E79"/>
      <c r="F79"/>
      <c r="G79"/>
      <c r="H79"/>
      <c r="I79"/>
    </row>
    <row r="80" spans="1:17" x14ac:dyDescent="0.3">
      <c r="D80"/>
      <c r="E80"/>
      <c r="F80"/>
      <c r="G80"/>
      <c r="H80"/>
      <c r="I80"/>
    </row>
    <row r="81" spans="4:9" x14ac:dyDescent="0.3">
      <c r="D81"/>
      <c r="E81"/>
      <c r="F81"/>
      <c r="G81"/>
      <c r="H81"/>
      <c r="I81"/>
    </row>
    <row r="82" spans="4:9" x14ac:dyDescent="0.3">
      <c r="D82"/>
      <c r="E82"/>
      <c r="F82"/>
      <c r="G82"/>
      <c r="H82"/>
      <c r="I82"/>
    </row>
  </sheetData>
  <autoFilter ref="B2:I16" xr:uid="{00000000-0009-0000-0000-000001000000}"/>
  <mergeCells count="167">
    <mergeCell ref="A1:A2"/>
    <mergeCell ref="B1:B2"/>
    <mergeCell ref="C1:C2"/>
    <mergeCell ref="D1:F1"/>
    <mergeCell ref="G1:I1"/>
    <mergeCell ref="J45:J46"/>
    <mergeCell ref="A3:A4"/>
    <mergeCell ref="B3:B4"/>
    <mergeCell ref="G3:G4"/>
    <mergeCell ref="H3:H4"/>
    <mergeCell ref="I3:I4"/>
    <mergeCell ref="A5:A6"/>
    <mergeCell ref="B5:B6"/>
    <mergeCell ref="G5:G6"/>
    <mergeCell ref="H5:H6"/>
    <mergeCell ref="I5:I6"/>
    <mergeCell ref="A11:A12"/>
    <mergeCell ref="B11:B12"/>
    <mergeCell ref="G11:G12"/>
    <mergeCell ref="H11:H12"/>
    <mergeCell ref="I11:I12"/>
    <mergeCell ref="J19:J20"/>
    <mergeCell ref="A7:A8"/>
    <mergeCell ref="B7:B8"/>
    <mergeCell ref="G7:G8"/>
    <mergeCell ref="H7:H8"/>
    <mergeCell ref="I7:I8"/>
    <mergeCell ref="A9:A10"/>
    <mergeCell ref="B9:B10"/>
    <mergeCell ref="G9:G10"/>
    <mergeCell ref="H9:H10"/>
    <mergeCell ref="I9:I10"/>
    <mergeCell ref="A13:A14"/>
    <mergeCell ref="B13:B14"/>
    <mergeCell ref="G13:G14"/>
    <mergeCell ref="H13:H14"/>
    <mergeCell ref="I13:I14"/>
    <mergeCell ref="A15:A16"/>
    <mergeCell ref="B15:B16"/>
    <mergeCell ref="G15:G16"/>
    <mergeCell ref="H15:H16"/>
    <mergeCell ref="I15:I16"/>
    <mergeCell ref="A17:A18"/>
    <mergeCell ref="B17:B18"/>
    <mergeCell ref="G17:G18"/>
    <mergeCell ref="H17:H18"/>
    <mergeCell ref="I17:I18"/>
    <mergeCell ref="A19:A20"/>
    <mergeCell ref="B19:B20"/>
    <mergeCell ref="G19:G20"/>
    <mergeCell ref="H19:H20"/>
    <mergeCell ref="I19:I20"/>
    <mergeCell ref="A21:A22"/>
    <mergeCell ref="B21:B22"/>
    <mergeCell ref="G21:G22"/>
    <mergeCell ref="H21:H22"/>
    <mergeCell ref="I21:I22"/>
    <mergeCell ref="A23:A24"/>
    <mergeCell ref="B23:B24"/>
    <mergeCell ref="G23:G24"/>
    <mergeCell ref="H23:H24"/>
    <mergeCell ref="I23:I24"/>
    <mergeCell ref="A25:A26"/>
    <mergeCell ref="B25:B26"/>
    <mergeCell ref="G25:G26"/>
    <mergeCell ref="H25:H26"/>
    <mergeCell ref="I25:I26"/>
    <mergeCell ref="A27:A28"/>
    <mergeCell ref="B27:B28"/>
    <mergeCell ref="G27:G28"/>
    <mergeCell ref="H27:H28"/>
    <mergeCell ref="I27:I28"/>
    <mergeCell ref="A29:A30"/>
    <mergeCell ref="B29:B30"/>
    <mergeCell ref="G29:G30"/>
    <mergeCell ref="H29:H30"/>
    <mergeCell ref="I29:I30"/>
    <mergeCell ref="A31:A32"/>
    <mergeCell ref="B31:B32"/>
    <mergeCell ref="G31:G32"/>
    <mergeCell ref="H31:H32"/>
    <mergeCell ref="I31:I32"/>
    <mergeCell ref="A33:A34"/>
    <mergeCell ref="B33:B34"/>
    <mergeCell ref="G33:G34"/>
    <mergeCell ref="H33:H34"/>
    <mergeCell ref="I33:I34"/>
    <mergeCell ref="A35:A36"/>
    <mergeCell ref="B35:B36"/>
    <mergeCell ref="G35:G36"/>
    <mergeCell ref="H35:H36"/>
    <mergeCell ref="I35:I36"/>
    <mergeCell ref="H45:H46"/>
    <mergeCell ref="I45:I46"/>
    <mergeCell ref="A41:A42"/>
    <mergeCell ref="B41:B42"/>
    <mergeCell ref="G41:G42"/>
    <mergeCell ref="H41:H42"/>
    <mergeCell ref="I41:I42"/>
    <mergeCell ref="A37:A38"/>
    <mergeCell ref="B37:B38"/>
    <mergeCell ref="G37:G38"/>
    <mergeCell ref="H37:H38"/>
    <mergeCell ref="I37:I38"/>
    <mergeCell ref="A39:A40"/>
    <mergeCell ref="B39:B40"/>
    <mergeCell ref="G39:G40"/>
    <mergeCell ref="H39:H40"/>
    <mergeCell ref="I39:I40"/>
    <mergeCell ref="B57:C57"/>
    <mergeCell ref="F62:G62"/>
    <mergeCell ref="F63:G63"/>
    <mergeCell ref="D65:D70"/>
    <mergeCell ref="F65:G65"/>
    <mergeCell ref="I65:I70"/>
    <mergeCell ref="A47:A48"/>
    <mergeCell ref="B47:B48"/>
    <mergeCell ref="G47:G48"/>
    <mergeCell ref="H47:H48"/>
    <mergeCell ref="I47:I48"/>
    <mergeCell ref="A49:A50"/>
    <mergeCell ref="B49:B50"/>
    <mergeCell ref="G49:G50"/>
    <mergeCell ref="H49:H50"/>
    <mergeCell ref="I49:I50"/>
    <mergeCell ref="K68:L68"/>
    <mergeCell ref="P68:Q68"/>
    <mergeCell ref="F69:G69"/>
    <mergeCell ref="K69:L69"/>
    <mergeCell ref="P69:Q69"/>
    <mergeCell ref="F70:G70"/>
    <mergeCell ref="K70:L70"/>
    <mergeCell ref="P70:Q70"/>
    <mergeCell ref="K65:L65"/>
    <mergeCell ref="N65:N70"/>
    <mergeCell ref="P65:Q65"/>
    <mergeCell ref="F66:G66"/>
    <mergeCell ref="K66:L66"/>
    <mergeCell ref="P66:Q66"/>
    <mergeCell ref="F67:G67"/>
    <mergeCell ref="K67:L67"/>
    <mergeCell ref="P67:Q67"/>
    <mergeCell ref="F68:G68"/>
    <mergeCell ref="J13:J14"/>
    <mergeCell ref="A55:A56"/>
    <mergeCell ref="B55:B56"/>
    <mergeCell ref="G55:G56"/>
    <mergeCell ref="H55:H56"/>
    <mergeCell ref="I55:I56"/>
    <mergeCell ref="A51:A52"/>
    <mergeCell ref="B51:B52"/>
    <mergeCell ref="G51:G52"/>
    <mergeCell ref="H51:H52"/>
    <mergeCell ref="I51:I52"/>
    <mergeCell ref="A53:A54"/>
    <mergeCell ref="B53:B54"/>
    <mergeCell ref="G53:G54"/>
    <mergeCell ref="H53:H54"/>
    <mergeCell ref="I53:I54"/>
    <mergeCell ref="A43:A44"/>
    <mergeCell ref="B43:B44"/>
    <mergeCell ref="G43:G44"/>
    <mergeCell ref="H43:H44"/>
    <mergeCell ref="I43:I44"/>
    <mergeCell ref="A45:A46"/>
    <mergeCell ref="B45:B46"/>
    <mergeCell ref="G45:G46"/>
  </mergeCells>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7"/>
  <sheetViews>
    <sheetView showGridLines="0" zoomScaleNormal="100" workbookViewId="0">
      <selection activeCell="H12" sqref="H12"/>
    </sheetView>
  </sheetViews>
  <sheetFormatPr baseColWidth="10" defaultRowHeight="14.4" x14ac:dyDescent="0.3"/>
  <cols>
    <col min="2" max="2" width="13.6640625" bestFit="1" customWidth="1"/>
  </cols>
  <sheetData>
    <row r="1" spans="1:13" x14ac:dyDescent="0.3">
      <c r="A1" s="15" t="s">
        <v>28</v>
      </c>
      <c r="B1" s="15" t="s">
        <v>27</v>
      </c>
      <c r="C1" s="15" t="s">
        <v>29</v>
      </c>
      <c r="D1" s="15" t="s">
        <v>30</v>
      </c>
      <c r="E1" s="15" t="s">
        <v>31</v>
      </c>
      <c r="F1" s="15" t="s">
        <v>32</v>
      </c>
      <c r="J1" s="15" t="s">
        <v>28</v>
      </c>
      <c r="K1" s="15" t="s">
        <v>2</v>
      </c>
      <c r="L1" s="15" t="s">
        <v>3</v>
      </c>
      <c r="M1" s="15" t="s">
        <v>33</v>
      </c>
    </row>
    <row r="2" spans="1:13" x14ac:dyDescent="0.3">
      <c r="A2" s="25" t="s">
        <v>2</v>
      </c>
      <c r="B2" s="24" t="e">
        <f>#REF!</f>
        <v>#REF!</v>
      </c>
      <c r="C2" s="24" t="e">
        <f>#REF!</f>
        <v>#REF!</v>
      </c>
      <c r="D2" s="24" t="e">
        <f>#REF!</f>
        <v>#REF!</v>
      </c>
      <c r="E2" s="24" t="e">
        <f>#REF!</f>
        <v>#REF!</v>
      </c>
      <c r="F2" s="24" t="e">
        <f>#REF!</f>
        <v>#REF!</v>
      </c>
      <c r="J2" s="19" t="s">
        <v>27</v>
      </c>
      <c r="K2" s="24" t="e">
        <f>B2</f>
        <v>#REF!</v>
      </c>
      <c r="L2" s="24" t="e">
        <f>#REF!</f>
        <v>#REF!</v>
      </c>
      <c r="M2" s="41" t="e">
        <f>(L2*100/K2)/100</f>
        <v>#REF!</v>
      </c>
    </row>
    <row r="3" spans="1:13" x14ac:dyDescent="0.3">
      <c r="A3" s="26" t="s">
        <v>11</v>
      </c>
      <c r="B3" s="24" t="e">
        <f>#REF!</f>
        <v>#REF!</v>
      </c>
      <c r="C3" s="24" t="e">
        <f>#REF!</f>
        <v>#REF!</v>
      </c>
      <c r="D3" s="24" t="e">
        <f>#REF!</f>
        <v>#REF!</v>
      </c>
      <c r="E3" s="24" t="e">
        <f>#REF!</f>
        <v>#REF!</v>
      </c>
      <c r="F3" s="24" t="e">
        <f>#REF!</f>
        <v>#REF!</v>
      </c>
      <c r="J3" s="19" t="s">
        <v>29</v>
      </c>
      <c r="K3" s="24" t="e">
        <f>C2</f>
        <v>#REF!</v>
      </c>
      <c r="L3" s="24" t="e">
        <f>C4</f>
        <v>#REF!</v>
      </c>
      <c r="M3" s="41" t="e">
        <f>(L3*100/K3)/100</f>
        <v>#REF!</v>
      </c>
    </row>
    <row r="4" spans="1:13" x14ac:dyDescent="0.3">
      <c r="A4" s="19" t="s">
        <v>3</v>
      </c>
      <c r="B4" s="24" t="e">
        <f>#REF!</f>
        <v>#REF!</v>
      </c>
      <c r="C4" s="24" t="e">
        <f>#REF!</f>
        <v>#REF!</v>
      </c>
      <c r="D4" s="24" t="e">
        <f>#REF!</f>
        <v>#REF!</v>
      </c>
      <c r="E4" s="24" t="e">
        <f>#REF!</f>
        <v>#REF!</v>
      </c>
      <c r="F4" s="24" t="e">
        <f>#REF!</f>
        <v>#REF!</v>
      </c>
      <c r="J4" s="19" t="s">
        <v>30</v>
      </c>
      <c r="K4" s="24" t="e">
        <f>D2</f>
        <v>#REF!</v>
      </c>
      <c r="L4" s="24" t="e">
        <f>D4</f>
        <v>#REF!</v>
      </c>
      <c r="M4" s="41" t="e">
        <f>(L4*100/K4)/100</f>
        <v>#REF!</v>
      </c>
    </row>
    <row r="5" spans="1:13" x14ac:dyDescent="0.3">
      <c r="J5" s="19" t="s">
        <v>31</v>
      </c>
      <c r="K5" s="24" t="e">
        <f>E2</f>
        <v>#REF!</v>
      </c>
      <c r="L5" s="24" t="e">
        <f>E4</f>
        <v>#REF!</v>
      </c>
      <c r="M5" s="41" t="e">
        <f>(L5*100/K5)/100</f>
        <v>#REF!</v>
      </c>
    </row>
    <row r="6" spans="1:13" x14ac:dyDescent="0.3">
      <c r="J6" s="19" t="s">
        <v>32</v>
      </c>
      <c r="K6" s="24" t="e">
        <f>F2</f>
        <v>#REF!</v>
      </c>
      <c r="L6" s="24" t="e">
        <f>F4</f>
        <v>#REF!</v>
      </c>
      <c r="M6" s="41" t="e">
        <f>(L6*100/K6)/100</f>
        <v>#REF!</v>
      </c>
    </row>
    <row r="7" spans="1:13" x14ac:dyDescent="0.3">
      <c r="J7" s="19" t="s">
        <v>44</v>
      </c>
      <c r="K7" s="73" t="e">
        <f>AVERAGEA(K2:K6)</f>
        <v>#REF!</v>
      </c>
      <c r="L7" s="74" t="e">
        <f>AVERAGEA(L2:L6)</f>
        <v>#REF!</v>
      </c>
      <c r="M7" s="75" t="e">
        <f>AVERAGEA(M2:M6)</f>
        <v>#REF!</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Enero_26</vt:lpstr>
      <vt:lpstr>Febrero_26</vt:lpstr>
      <vt:lpstr>Cash_2026</vt:lpstr>
      <vt:lpstr>Cash_2025</vt:lpstr>
      <vt:lpstr>Febrero</vt:lpstr>
      <vt:lpstr>Marzo</vt:lpstr>
      <vt:lpstr>Abril</vt:lpstr>
      <vt:lpstr>Mayo</vt:lpstr>
      <vt:lpstr>Junio</vt:lpstr>
      <vt:lpstr>Julio</vt:lpstr>
      <vt:lpstr>Agosto_25</vt:lpstr>
      <vt:lpstr>Septiembre_25</vt:lpstr>
      <vt:lpstr>Octubre_25</vt:lpstr>
      <vt:lpstr>Noviembre_25</vt:lpstr>
      <vt:lpstr>Diciembre (25)</vt:lpstr>
      <vt:lpstr>Cash_2024</vt:lpstr>
    </vt:vector>
  </TitlesOfParts>
  <Company>Grupo TELECOM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Bernardo Nahuel Contreras</dc:creator>
  <cp:lastModifiedBy>Bernardo Contreras</cp:lastModifiedBy>
  <cp:lastPrinted>2024-08-14T13:24:35Z</cp:lastPrinted>
  <dcterms:created xsi:type="dcterms:W3CDTF">2024-08-12T22:47:30Z</dcterms:created>
  <dcterms:modified xsi:type="dcterms:W3CDTF">2026-02-21T15:28:37Z</dcterms:modified>
</cp:coreProperties>
</file>